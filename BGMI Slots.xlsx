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\Downloads\"/>
    </mc:Choice>
  </mc:AlternateContent>
  <xr:revisionPtr revIDLastSave="0" documentId="13_ncr:1_{E28CE176-5ECB-4429-A06F-E5BC3460F4EE}" xr6:coauthVersionLast="47" xr6:coauthVersionMax="47" xr10:uidLastSave="{00000000-0000-0000-0000-000000000000}"/>
  <bookViews>
    <workbookView xWindow="-108" yWindow="-108" windowWidth="23256" windowHeight="12456" activeTab="2" xr2:uid="{E3897C74-661D-44E5-9C35-081DF01FA9C5}"/>
  </bookViews>
  <sheets>
    <sheet name="Sheet1" sheetId="1" r:id="rId1"/>
    <sheet name="Sheet3" sheetId="3" r:id="rId2"/>
    <sheet name="Sheet4" sheetId="4" r:id="rId3"/>
  </sheets>
  <definedNames>
    <definedName name="_xlnm._FilterDatabase" localSheetId="0" hidden="1">Sheet1!$A$1:$S$80</definedName>
    <definedName name="_xlnm._FilterDatabase" localSheetId="2" hidden="1">Sheet4!$A$1:$E$18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4" l="1"/>
  <c r="E3" i="4"/>
  <c r="E2" i="4"/>
  <c r="E10" i="4"/>
  <c r="E14" i="4"/>
  <c r="E8" i="4"/>
  <c r="E7" i="4"/>
  <c r="E4" i="4"/>
  <c r="E12" i="4"/>
  <c r="E6" i="4"/>
  <c r="E17" i="4"/>
  <c r="E15" i="4"/>
  <c r="E16" i="4"/>
  <c r="E5" i="4"/>
  <c r="E11" i="4"/>
  <c r="E13" i="4"/>
  <c r="S2" i="1"/>
  <c r="S77" i="1"/>
  <c r="S72" i="1"/>
  <c r="S67" i="1"/>
  <c r="S62" i="1"/>
  <c r="S57" i="1"/>
  <c r="S52" i="1"/>
  <c r="S47" i="1"/>
  <c r="S42" i="1"/>
  <c r="S37" i="1"/>
  <c r="S32" i="1"/>
  <c r="S27" i="1"/>
  <c r="S22" i="1"/>
  <c r="S17" i="1"/>
  <c r="S12" i="1"/>
  <c r="S7" i="1"/>
</calcChain>
</file>

<file path=xl/sharedStrings.xml><?xml version="1.0" encoding="utf-8"?>
<sst xmlns="http://schemas.openxmlformats.org/spreadsheetml/2006/main" count="144" uniqueCount="86">
  <si>
    <t>Aurora Reign</t>
  </si>
  <si>
    <t xml:space="preserve">Ali Ahmad Zaidi </t>
  </si>
  <si>
    <t>Shaikh Mohd Fahad</t>
  </si>
  <si>
    <t>Amit om Prakash singh</t>
  </si>
  <si>
    <t>Rishi pol</t>
  </si>
  <si>
    <t>Crimson Vortex</t>
  </si>
  <si>
    <t>Tanveer Khan</t>
  </si>
  <si>
    <t>Rajat puro</t>
  </si>
  <si>
    <t>Omkar kadam</t>
  </si>
  <si>
    <t>Omkar dhembre</t>
  </si>
  <si>
    <t>Shadow Monarchs</t>
  </si>
  <si>
    <t>Shriyash</t>
  </si>
  <si>
    <t>Elite Vanguard</t>
  </si>
  <si>
    <t>ved patil</t>
  </si>
  <si>
    <t>Deep</t>
  </si>
  <si>
    <t>Siddharth</t>
  </si>
  <si>
    <t>Anuraj Prajapati</t>
  </si>
  <si>
    <t>Titan Syndicate</t>
  </si>
  <si>
    <t>Atharva Sawant</t>
  </si>
  <si>
    <t>vedika</t>
  </si>
  <si>
    <t>vignesh</t>
  </si>
  <si>
    <t>Kartik</t>
  </si>
  <si>
    <t>Nova Imperium</t>
  </si>
  <si>
    <t>Aditiya pandey</t>
  </si>
  <si>
    <t>Aarushi Neb</t>
  </si>
  <si>
    <t>soham tembulkar</t>
  </si>
  <si>
    <t>Harshad mahajan</t>
  </si>
  <si>
    <t>Rogue Genesis</t>
  </si>
  <si>
    <t xml:space="preserve">Rishi Pandey </t>
  </si>
  <si>
    <t>Sandesh Panmand</t>
  </si>
  <si>
    <t>Sameer Bhosale</t>
  </si>
  <si>
    <t>Sai Newalkar</t>
  </si>
  <si>
    <t>Iron Nemesis</t>
  </si>
  <si>
    <t>Mahesh Dubey</t>
  </si>
  <si>
    <t>Kush Modha</t>
  </si>
  <si>
    <t>Kaustubh Udmale</t>
  </si>
  <si>
    <t>Vivek Mishra</t>
  </si>
  <si>
    <t>Celestial Havoc</t>
  </si>
  <si>
    <t>Rehan Qureshi</t>
  </si>
  <si>
    <t>Akshay</t>
  </si>
  <si>
    <t>Subhash</t>
  </si>
  <si>
    <t>Vighesh</t>
  </si>
  <si>
    <t>Omega Reapers</t>
  </si>
  <si>
    <t>Gaurav Savratkar</t>
  </si>
  <si>
    <t>Dhruv Borse</t>
  </si>
  <si>
    <t>Aditya Walunj</t>
  </si>
  <si>
    <t>Siddharth Shyam Kanim</t>
  </si>
  <si>
    <t>Vortex Dominion</t>
  </si>
  <si>
    <t>Azim</t>
  </si>
  <si>
    <t>Aditya</t>
  </si>
  <si>
    <t>Abhishek</t>
  </si>
  <si>
    <t>Siddharth Khosala</t>
  </si>
  <si>
    <t>Aryan</t>
  </si>
  <si>
    <t>Harsh</t>
  </si>
  <si>
    <t>Uzair</t>
  </si>
  <si>
    <t>Ayan</t>
  </si>
  <si>
    <t>Rushers</t>
  </si>
  <si>
    <t>Prathmesh</t>
  </si>
  <si>
    <t>Prachi</t>
  </si>
  <si>
    <t>Samyak</t>
  </si>
  <si>
    <t>Neha</t>
  </si>
  <si>
    <t>Oblivion Esports</t>
  </si>
  <si>
    <t>DETTOL</t>
  </si>
  <si>
    <t>IGN</t>
  </si>
  <si>
    <t>UID</t>
  </si>
  <si>
    <t>M1 POS</t>
  </si>
  <si>
    <t>M1 KILLS</t>
  </si>
  <si>
    <t>M2 KILLS</t>
  </si>
  <si>
    <t>P</t>
  </si>
  <si>
    <t>Aarchi</t>
  </si>
  <si>
    <t>Prasad</t>
  </si>
  <si>
    <t>Ykings</t>
  </si>
  <si>
    <t>xkings</t>
  </si>
  <si>
    <t>valkryie heroes</t>
  </si>
  <si>
    <t>M1 TOTAL</t>
  </si>
  <si>
    <t xml:space="preserve">  </t>
  </si>
  <si>
    <t xml:space="preserve"> M2 POS</t>
  </si>
  <si>
    <t>M2 TOTAL</t>
  </si>
  <si>
    <t>M3 POS</t>
  </si>
  <si>
    <t>M3 KILLS M3 TOTAL</t>
  </si>
  <si>
    <t>TOTALL</t>
  </si>
  <si>
    <t>Team Name</t>
  </si>
  <si>
    <t>Total Point</t>
  </si>
  <si>
    <t>M1 Point</t>
  </si>
  <si>
    <t>M2 Point</t>
  </si>
  <si>
    <t>M3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</si>
</sst>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vertical="center" textRotation="45"/>
    </xf>
    <xf numFmtId="0" fontId="0" fillId="0" borderId="1" xfId="0" applyBorder="1"/>
    <xf numFmtId="0" fontId="0" fillId="0" borderId="1" xfId="0" applyBorder="1" applyAlignment="1">
      <alignment horizontal="center" vertical="center" textRotation="45"/>
    </xf>
    <xf numFmtId="0" fontId="2" fillId="2" borderId="1" xfId="0" applyFont="1" applyFill="1" applyBorder="1"/>
    <xf numFmtId="0" fontId="2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7" borderId="1" xfId="0" applyFont="1" applyFill="1" applyBorder="1"/>
    <xf numFmtId="0" fontId="0" fillId="17" borderId="1" xfId="0" applyFill="1" applyBorder="1"/>
    <xf numFmtId="0" fontId="2" fillId="10" borderId="1" xfId="0" applyFont="1" applyFill="1" applyBorder="1"/>
    <xf numFmtId="0" fontId="0" fillId="10" borderId="1" xfId="0" applyFill="1" applyBorder="1"/>
    <xf numFmtId="0" fontId="2" fillId="11" borderId="1" xfId="0" applyFont="1" applyFill="1" applyBorder="1"/>
    <xf numFmtId="0" fontId="0" fillId="11" borderId="1" xfId="0" applyFill="1" applyBorder="1"/>
    <xf numFmtId="0" fontId="2" fillId="12" borderId="1" xfId="0" applyFont="1" applyFill="1" applyBorder="1"/>
    <xf numFmtId="0" fontId="0" fillId="12" borderId="1" xfId="0" applyFill="1" applyBorder="1"/>
    <xf numFmtId="0" fontId="1" fillId="13" borderId="1" xfId="0" applyFont="1" applyFill="1" applyBorder="1"/>
    <xf numFmtId="0" fontId="3" fillId="13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0" borderId="1" xfId="0" applyBorder="1" applyAlignment="1">
      <alignment horizontal="center" vertical="center" textRotation="45"/>
    </xf>
    <xf numFmtId="0" fontId="0" fillId="1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7EDB-097F-487A-B998-4ADF4B4A905D}">
  <dimension ref="A1:S80"/>
  <sheetViews>
    <sheetView workbookViewId="0">
      <selection activeCell="B2" sqref="B2:B5"/>
    </sheetView>
  </sheetViews>
  <sheetFormatPr defaultRowHeight="14.4" x14ac:dyDescent="0.3"/>
  <cols>
    <col min="1" max="1" width="13.5546875" style="1" bestFit="1" customWidth="1"/>
    <col min="2" max="2" width="20.88671875" style="2" bestFit="1" customWidth="1"/>
    <col min="3" max="16384" width="8.88671875" style="2"/>
  </cols>
  <sheetData>
    <row r="1" spans="1:19" x14ac:dyDescent="0.3">
      <c r="D1" s="2" t="s">
        <v>63</v>
      </c>
      <c r="E1" s="2" t="s">
        <v>64</v>
      </c>
      <c r="G1" s="2" t="s">
        <v>65</v>
      </c>
      <c r="H1" s="2" t="s">
        <v>66</v>
      </c>
      <c r="I1" s="2" t="s">
        <v>74</v>
      </c>
      <c r="J1" s="2" t="s">
        <v>75</v>
      </c>
      <c r="K1" s="2" t="s">
        <v>76</v>
      </c>
      <c r="L1" s="2" t="s">
        <v>67</v>
      </c>
      <c r="M1" s="2" t="s">
        <v>77</v>
      </c>
      <c r="O1" s="2" t="s">
        <v>78</v>
      </c>
      <c r="P1" s="2" t="s">
        <v>79</v>
      </c>
      <c r="S1" s="2" t="s">
        <v>80</v>
      </c>
    </row>
    <row r="2" spans="1:19" x14ac:dyDescent="0.3">
      <c r="A2" s="3" t="s">
        <v>0</v>
      </c>
      <c r="B2" s="4" t="s">
        <v>1</v>
      </c>
      <c r="C2" s="2" t="s">
        <v>68</v>
      </c>
      <c r="D2" s="2" t="s">
        <v>62</v>
      </c>
      <c r="G2" s="2">
        <v>0</v>
      </c>
      <c r="H2" s="2">
        <v>1</v>
      </c>
      <c r="I2" s="2">
        <v>1</v>
      </c>
      <c r="K2" s="2">
        <v>0</v>
      </c>
      <c r="L2" s="2">
        <v>0</v>
      </c>
      <c r="M2" s="2">
        <v>0</v>
      </c>
      <c r="O2" s="2">
        <v>2</v>
      </c>
      <c r="P2" s="2">
        <v>3</v>
      </c>
      <c r="Q2" s="2">
        <v>5</v>
      </c>
      <c r="S2" s="2">
        <f>SUM(I2+M2+Q2)</f>
        <v>6</v>
      </c>
    </row>
    <row r="3" spans="1:19" x14ac:dyDescent="0.3">
      <c r="A3" s="3"/>
      <c r="B3" s="4" t="s">
        <v>2</v>
      </c>
      <c r="C3" s="2" t="s">
        <v>68</v>
      </c>
    </row>
    <row r="4" spans="1:19" x14ac:dyDescent="0.3">
      <c r="A4" s="3"/>
      <c r="B4" s="4" t="s">
        <v>3</v>
      </c>
      <c r="C4" s="2" t="s">
        <v>68</v>
      </c>
    </row>
    <row r="5" spans="1:19" x14ac:dyDescent="0.3">
      <c r="A5" s="3"/>
      <c r="B5" s="4" t="s">
        <v>4</v>
      </c>
      <c r="C5" s="2" t="s">
        <v>68</v>
      </c>
    </row>
    <row r="6" spans="1:19" x14ac:dyDescent="0.3">
      <c r="B6" s="5"/>
    </row>
    <row r="7" spans="1:19" x14ac:dyDescent="0.3">
      <c r="A7" s="3" t="s">
        <v>5</v>
      </c>
      <c r="B7" s="6" t="s">
        <v>6</v>
      </c>
      <c r="C7" s="2" t="s">
        <v>68</v>
      </c>
      <c r="G7" s="2">
        <v>0</v>
      </c>
      <c r="H7" s="2">
        <v>0</v>
      </c>
      <c r="I7" s="2">
        <v>0</v>
      </c>
      <c r="K7" s="2">
        <v>0</v>
      </c>
      <c r="L7" s="2">
        <v>2</v>
      </c>
      <c r="M7" s="2">
        <v>0</v>
      </c>
      <c r="O7" s="2">
        <v>4</v>
      </c>
      <c r="P7" s="2">
        <v>6</v>
      </c>
      <c r="Q7" s="2">
        <v>10</v>
      </c>
      <c r="S7" s="2">
        <f>SUM(I7+M7+Q7)</f>
        <v>10</v>
      </c>
    </row>
    <row r="8" spans="1:19" x14ac:dyDescent="0.3">
      <c r="A8" s="3"/>
      <c r="B8" s="7" t="s">
        <v>7</v>
      </c>
    </row>
    <row r="9" spans="1:19" x14ac:dyDescent="0.3">
      <c r="A9" s="3"/>
      <c r="B9" s="7" t="s">
        <v>8</v>
      </c>
    </row>
    <row r="10" spans="1:19" x14ac:dyDescent="0.3">
      <c r="A10" s="3"/>
      <c r="B10" s="7" t="s">
        <v>9</v>
      </c>
    </row>
    <row r="11" spans="1:19" ht="15.6" customHeight="1" x14ac:dyDescent="0.3">
      <c r="B11" s="5"/>
    </row>
    <row r="12" spans="1:19" ht="18" customHeight="1" x14ac:dyDescent="0.3">
      <c r="A12" s="3" t="s">
        <v>10</v>
      </c>
      <c r="B12" s="8" t="s">
        <v>11</v>
      </c>
      <c r="C12" s="2" t="s">
        <v>68</v>
      </c>
      <c r="G12" s="2">
        <v>5</v>
      </c>
      <c r="H12" s="2">
        <v>5</v>
      </c>
      <c r="I12" s="2">
        <v>10</v>
      </c>
      <c r="K12" s="2">
        <v>10</v>
      </c>
      <c r="L12" s="2">
        <v>12</v>
      </c>
      <c r="M12" s="2">
        <v>22</v>
      </c>
      <c r="O12" s="2">
        <v>10</v>
      </c>
      <c r="P12" s="2">
        <v>3</v>
      </c>
      <c r="Q12" s="2">
        <v>13</v>
      </c>
      <c r="S12" s="2">
        <f>SUM(I12+M12+Q12)</f>
        <v>45</v>
      </c>
    </row>
    <row r="13" spans="1:19" ht="18" customHeight="1" x14ac:dyDescent="0.3">
      <c r="A13" s="3"/>
      <c r="B13" s="8" t="s">
        <v>60</v>
      </c>
      <c r="C13" s="2" t="s">
        <v>68</v>
      </c>
    </row>
    <row r="14" spans="1:19" ht="18" customHeight="1" x14ac:dyDescent="0.3">
      <c r="A14" s="3"/>
      <c r="B14" s="8" t="s">
        <v>69</v>
      </c>
      <c r="C14" s="2" t="s">
        <v>68</v>
      </c>
    </row>
    <row r="15" spans="1:19" ht="18" customHeight="1" x14ac:dyDescent="0.3">
      <c r="A15" s="3"/>
      <c r="B15" s="8" t="s">
        <v>70</v>
      </c>
    </row>
    <row r="16" spans="1:19" ht="18" customHeight="1" x14ac:dyDescent="0.3">
      <c r="B16" s="5"/>
    </row>
    <row r="17" spans="1:19" x14ac:dyDescent="0.3">
      <c r="A17" s="3" t="s">
        <v>12</v>
      </c>
      <c r="B17" s="9" t="s">
        <v>13</v>
      </c>
      <c r="G17" s="2">
        <v>10</v>
      </c>
      <c r="H17" s="2">
        <v>11</v>
      </c>
      <c r="I17" s="2">
        <v>21</v>
      </c>
      <c r="K17" s="2">
        <v>5</v>
      </c>
      <c r="L17" s="2">
        <v>6</v>
      </c>
      <c r="M17" s="2">
        <v>11</v>
      </c>
      <c r="O17" s="2">
        <v>5</v>
      </c>
      <c r="P17" s="2">
        <v>9</v>
      </c>
      <c r="Q17" s="2">
        <v>14</v>
      </c>
      <c r="S17" s="2">
        <f>SUM(I17+M17+Q17)</f>
        <v>46</v>
      </c>
    </row>
    <row r="18" spans="1:19" x14ac:dyDescent="0.3">
      <c r="A18" s="3"/>
      <c r="B18" s="9" t="s">
        <v>14</v>
      </c>
    </row>
    <row r="19" spans="1:19" x14ac:dyDescent="0.3">
      <c r="A19" s="3"/>
      <c r="B19" s="9" t="s">
        <v>15</v>
      </c>
    </row>
    <row r="20" spans="1:19" x14ac:dyDescent="0.3">
      <c r="A20" s="3"/>
      <c r="B20" s="9" t="s">
        <v>16</v>
      </c>
    </row>
    <row r="21" spans="1:19" x14ac:dyDescent="0.3">
      <c r="B21" s="5"/>
    </row>
    <row r="22" spans="1:19" x14ac:dyDescent="0.3">
      <c r="A22" s="3" t="s">
        <v>71</v>
      </c>
      <c r="B22" s="10"/>
      <c r="K22" s="2">
        <v>2</v>
      </c>
      <c r="L22" s="2">
        <v>2</v>
      </c>
      <c r="M22" s="2">
        <v>4</v>
      </c>
      <c r="O22" s="2">
        <v>3</v>
      </c>
      <c r="P22" s="2">
        <v>1</v>
      </c>
      <c r="Q22" s="2">
        <v>4</v>
      </c>
      <c r="S22" s="2">
        <f>SUM(I22+M22+Q22)</f>
        <v>8</v>
      </c>
    </row>
    <row r="23" spans="1:19" x14ac:dyDescent="0.3">
      <c r="A23" s="3"/>
      <c r="B23" s="11"/>
    </row>
    <row r="24" spans="1:19" x14ac:dyDescent="0.3">
      <c r="A24" s="3"/>
      <c r="B24" s="11"/>
    </row>
    <row r="25" spans="1:19" x14ac:dyDescent="0.3">
      <c r="A25" s="3"/>
      <c r="B25" s="11"/>
    </row>
    <row r="27" spans="1:19" x14ac:dyDescent="0.3">
      <c r="A27" s="3" t="s">
        <v>72</v>
      </c>
      <c r="B27" s="12"/>
      <c r="K27" s="2">
        <v>0</v>
      </c>
      <c r="L27" s="2">
        <v>3</v>
      </c>
      <c r="M27" s="2">
        <v>3</v>
      </c>
      <c r="O27" s="2">
        <v>1</v>
      </c>
      <c r="P27" s="2">
        <v>1</v>
      </c>
      <c r="Q27" s="2">
        <v>2</v>
      </c>
      <c r="S27" s="2">
        <f>SUM(I27+M27+Q27)</f>
        <v>5</v>
      </c>
    </row>
    <row r="28" spans="1:19" x14ac:dyDescent="0.3">
      <c r="A28" s="3"/>
      <c r="B28" s="13"/>
    </row>
    <row r="29" spans="1:19" x14ac:dyDescent="0.3">
      <c r="A29" s="3"/>
      <c r="B29" s="13"/>
    </row>
    <row r="30" spans="1:19" x14ac:dyDescent="0.3">
      <c r="A30" s="3"/>
      <c r="B30" s="13"/>
    </row>
    <row r="32" spans="1:19" x14ac:dyDescent="0.3">
      <c r="A32" s="3" t="s">
        <v>17</v>
      </c>
      <c r="B32" s="14" t="s">
        <v>18</v>
      </c>
      <c r="C32" s="2" t="s">
        <v>68</v>
      </c>
      <c r="G32" s="2">
        <v>0</v>
      </c>
      <c r="H32" s="2">
        <v>2</v>
      </c>
      <c r="I32" s="2">
        <v>2</v>
      </c>
      <c r="K32" s="2">
        <v>0</v>
      </c>
      <c r="L32" s="2">
        <v>8</v>
      </c>
      <c r="M32" s="2">
        <v>8</v>
      </c>
      <c r="O32" s="2">
        <v>0</v>
      </c>
      <c r="P32" s="2">
        <v>1</v>
      </c>
      <c r="Q32" s="2">
        <v>1</v>
      </c>
      <c r="S32" s="2">
        <f>SUM(I32+M32+Q32)</f>
        <v>11</v>
      </c>
    </row>
    <row r="33" spans="1:19" x14ac:dyDescent="0.3">
      <c r="A33" s="3"/>
      <c r="B33" s="14" t="s">
        <v>19</v>
      </c>
      <c r="C33" s="2" t="s">
        <v>68</v>
      </c>
    </row>
    <row r="34" spans="1:19" x14ac:dyDescent="0.3">
      <c r="A34" s="3"/>
      <c r="B34" s="14" t="s">
        <v>20</v>
      </c>
    </row>
    <row r="35" spans="1:19" x14ac:dyDescent="0.3">
      <c r="A35" s="3"/>
      <c r="B35" s="14" t="s">
        <v>21</v>
      </c>
      <c r="C35" s="2" t="s">
        <v>68</v>
      </c>
    </row>
    <row r="37" spans="1:19" x14ac:dyDescent="0.3">
      <c r="A37" s="3" t="s">
        <v>22</v>
      </c>
      <c r="B37" s="15" t="s">
        <v>23</v>
      </c>
      <c r="G37" s="2">
        <v>4</v>
      </c>
      <c r="H37" s="2">
        <v>6</v>
      </c>
      <c r="I37" s="2">
        <v>10</v>
      </c>
      <c r="K37" s="2">
        <v>0</v>
      </c>
      <c r="L37" s="2">
        <v>0</v>
      </c>
      <c r="M37" s="2">
        <v>0</v>
      </c>
      <c r="O37" s="2">
        <v>0</v>
      </c>
      <c r="P37" s="2">
        <v>2</v>
      </c>
      <c r="Q37" s="2">
        <v>2</v>
      </c>
      <c r="S37" s="2">
        <f>SUM(I37+M37+Q37)</f>
        <v>12</v>
      </c>
    </row>
    <row r="38" spans="1:19" x14ac:dyDescent="0.3">
      <c r="A38" s="3"/>
      <c r="B38" s="15" t="s">
        <v>24</v>
      </c>
      <c r="C38" s="2" t="s">
        <v>68</v>
      </c>
    </row>
    <row r="39" spans="1:19" x14ac:dyDescent="0.3">
      <c r="A39" s="3"/>
      <c r="B39" s="15" t="s">
        <v>25</v>
      </c>
    </row>
    <row r="40" spans="1:19" x14ac:dyDescent="0.3">
      <c r="A40" s="3"/>
      <c r="B40" s="15" t="s">
        <v>26</v>
      </c>
    </row>
    <row r="42" spans="1:19" x14ac:dyDescent="0.3">
      <c r="A42" s="3" t="s">
        <v>73</v>
      </c>
      <c r="B42" s="16"/>
      <c r="G42" s="2">
        <v>1</v>
      </c>
      <c r="H42" s="2">
        <v>1</v>
      </c>
      <c r="I42" s="2">
        <v>2</v>
      </c>
      <c r="K42" s="2">
        <v>6</v>
      </c>
      <c r="L42" s="2">
        <v>12</v>
      </c>
      <c r="M42" s="2">
        <v>18</v>
      </c>
      <c r="O42" s="2">
        <v>6</v>
      </c>
      <c r="P42" s="2">
        <v>6</v>
      </c>
      <c r="Q42" s="2">
        <v>12</v>
      </c>
      <c r="S42" s="2">
        <f>SUM(I42+M42+Q42)</f>
        <v>32</v>
      </c>
    </row>
    <row r="43" spans="1:19" x14ac:dyDescent="0.3">
      <c r="A43" s="3"/>
      <c r="B43" s="17"/>
    </row>
    <row r="44" spans="1:19" x14ac:dyDescent="0.3">
      <c r="A44" s="3"/>
      <c r="B44" s="17"/>
    </row>
    <row r="45" spans="1:19" x14ac:dyDescent="0.3">
      <c r="A45" s="3"/>
      <c r="B45" s="17"/>
    </row>
    <row r="47" spans="1:19" x14ac:dyDescent="0.3">
      <c r="A47" s="3" t="s">
        <v>27</v>
      </c>
      <c r="B47" s="18" t="s">
        <v>28</v>
      </c>
      <c r="C47" s="2" t="s">
        <v>68</v>
      </c>
      <c r="G47" s="2">
        <v>0</v>
      </c>
      <c r="H47" s="2">
        <v>5</v>
      </c>
      <c r="I47" s="2">
        <v>5</v>
      </c>
      <c r="K47" s="2">
        <v>0</v>
      </c>
      <c r="L47" s="2">
        <v>0</v>
      </c>
      <c r="M47" s="2">
        <v>0</v>
      </c>
      <c r="O47" s="2">
        <v>1</v>
      </c>
      <c r="P47" s="2">
        <v>1</v>
      </c>
      <c r="Q47" s="2">
        <v>2</v>
      </c>
      <c r="S47" s="2">
        <f>SUM(I47+M47+Q47)</f>
        <v>7</v>
      </c>
    </row>
    <row r="48" spans="1:19" x14ac:dyDescent="0.3">
      <c r="A48" s="3"/>
      <c r="B48" s="19" t="s">
        <v>29</v>
      </c>
      <c r="C48" s="2" t="s">
        <v>68</v>
      </c>
    </row>
    <row r="49" spans="1:19" x14ac:dyDescent="0.3">
      <c r="A49" s="3"/>
      <c r="B49" s="19" t="s">
        <v>30</v>
      </c>
      <c r="C49" s="2" t="s">
        <v>68</v>
      </c>
    </row>
    <row r="50" spans="1:19" x14ac:dyDescent="0.3">
      <c r="A50" s="3"/>
      <c r="B50" s="19" t="s">
        <v>31</v>
      </c>
    </row>
    <row r="52" spans="1:19" x14ac:dyDescent="0.3">
      <c r="A52" s="3" t="s">
        <v>32</v>
      </c>
      <c r="B52" s="20" t="s">
        <v>33</v>
      </c>
      <c r="G52" s="2">
        <v>2</v>
      </c>
      <c r="H52" s="2">
        <v>1</v>
      </c>
      <c r="I52" s="2">
        <v>3</v>
      </c>
      <c r="K52" s="2">
        <v>4</v>
      </c>
      <c r="L52" s="2">
        <v>1</v>
      </c>
      <c r="M52" s="2">
        <v>5</v>
      </c>
      <c r="O52" s="2">
        <v>0</v>
      </c>
      <c r="P52" s="2">
        <v>5</v>
      </c>
      <c r="Q52" s="2">
        <v>5</v>
      </c>
      <c r="S52" s="2">
        <f>SUM(I52+M52+Q52)</f>
        <v>13</v>
      </c>
    </row>
    <row r="53" spans="1:19" x14ac:dyDescent="0.3">
      <c r="A53" s="3"/>
      <c r="B53" s="21" t="s">
        <v>34</v>
      </c>
    </row>
    <row r="54" spans="1:19" x14ac:dyDescent="0.3">
      <c r="A54" s="3"/>
      <c r="B54" s="21" t="s">
        <v>35</v>
      </c>
    </row>
    <row r="55" spans="1:19" x14ac:dyDescent="0.3">
      <c r="A55" s="3"/>
      <c r="B55" s="21" t="s">
        <v>36</v>
      </c>
    </row>
    <row r="57" spans="1:19" x14ac:dyDescent="0.3">
      <c r="A57" s="3" t="s">
        <v>37</v>
      </c>
      <c r="B57" s="22" t="s">
        <v>38</v>
      </c>
      <c r="C57" s="2" t="s">
        <v>68</v>
      </c>
      <c r="G57" s="2">
        <v>1</v>
      </c>
      <c r="H57" s="2">
        <v>0</v>
      </c>
      <c r="I57" s="2">
        <v>1</v>
      </c>
      <c r="K57" s="2">
        <v>1</v>
      </c>
      <c r="L57" s="2">
        <v>0</v>
      </c>
      <c r="M57" s="2">
        <v>1</v>
      </c>
      <c r="O57" s="2">
        <v>0</v>
      </c>
      <c r="P57" s="2">
        <v>0</v>
      </c>
      <c r="Q57" s="2">
        <v>0</v>
      </c>
      <c r="S57" s="2">
        <f>SUM(I57+M57+Q57)</f>
        <v>2</v>
      </c>
    </row>
    <row r="58" spans="1:19" x14ac:dyDescent="0.3">
      <c r="A58" s="3"/>
      <c r="B58" s="23" t="s">
        <v>39</v>
      </c>
    </row>
    <row r="59" spans="1:19" x14ac:dyDescent="0.3">
      <c r="A59" s="3"/>
      <c r="B59" s="23" t="s">
        <v>40</v>
      </c>
    </row>
    <row r="60" spans="1:19" x14ac:dyDescent="0.3">
      <c r="A60" s="3"/>
      <c r="B60" s="23" t="s">
        <v>41</v>
      </c>
    </row>
    <row r="62" spans="1:19" x14ac:dyDescent="0.3">
      <c r="A62" s="3" t="s">
        <v>42</v>
      </c>
      <c r="B62" s="24" t="s">
        <v>43</v>
      </c>
      <c r="C62" s="2" t="s">
        <v>68</v>
      </c>
      <c r="G62" s="2">
        <v>0</v>
      </c>
      <c r="H62" s="2">
        <v>0</v>
      </c>
      <c r="I62" s="2">
        <v>0</v>
      </c>
      <c r="K62" s="2">
        <v>1</v>
      </c>
      <c r="L62" s="2">
        <v>3</v>
      </c>
      <c r="M62" s="2">
        <v>4</v>
      </c>
      <c r="O62" s="2">
        <v>0</v>
      </c>
      <c r="P62" s="2">
        <v>1</v>
      </c>
      <c r="Q62" s="2">
        <v>1</v>
      </c>
      <c r="S62" s="2">
        <f>SUM(I62+M62+Q62)</f>
        <v>5</v>
      </c>
    </row>
    <row r="63" spans="1:19" x14ac:dyDescent="0.3">
      <c r="A63" s="3"/>
      <c r="B63" s="24" t="s">
        <v>44</v>
      </c>
      <c r="C63" s="2" t="s">
        <v>68</v>
      </c>
    </row>
    <row r="64" spans="1:19" x14ac:dyDescent="0.3">
      <c r="A64" s="3"/>
      <c r="B64" s="24" t="s">
        <v>45</v>
      </c>
    </row>
    <row r="65" spans="1:19" x14ac:dyDescent="0.3">
      <c r="A65" s="3"/>
      <c r="B65" s="25" t="s">
        <v>46</v>
      </c>
    </row>
    <row r="67" spans="1:19" x14ac:dyDescent="0.3">
      <c r="A67" s="3" t="s">
        <v>47</v>
      </c>
      <c r="B67" s="26" t="s">
        <v>48</v>
      </c>
      <c r="C67" s="2" t="s">
        <v>68</v>
      </c>
      <c r="G67" s="2">
        <v>0</v>
      </c>
      <c r="H67" s="2">
        <v>0</v>
      </c>
      <c r="I67" s="2">
        <v>0</v>
      </c>
      <c r="K67" s="2">
        <v>3</v>
      </c>
      <c r="L67" s="2">
        <v>0</v>
      </c>
      <c r="M67" s="2">
        <v>3</v>
      </c>
      <c r="O67" s="2">
        <v>0</v>
      </c>
      <c r="P67" s="2">
        <v>1</v>
      </c>
      <c r="Q67" s="2">
        <v>1</v>
      </c>
      <c r="S67" s="2">
        <f>SUM(I67+M67+Q67)</f>
        <v>4</v>
      </c>
    </row>
    <row r="68" spans="1:19" x14ac:dyDescent="0.3">
      <c r="A68" s="3"/>
      <c r="B68" s="26" t="s">
        <v>49</v>
      </c>
    </row>
    <row r="69" spans="1:19" x14ac:dyDescent="0.3">
      <c r="A69" s="3"/>
      <c r="B69" s="26" t="s">
        <v>50</v>
      </c>
    </row>
    <row r="70" spans="1:19" x14ac:dyDescent="0.3">
      <c r="A70" s="3"/>
      <c r="B70" s="26" t="s">
        <v>51</v>
      </c>
      <c r="C70" s="2" t="s">
        <v>68</v>
      </c>
    </row>
    <row r="72" spans="1:19" x14ac:dyDescent="0.3">
      <c r="A72" s="3" t="s">
        <v>56</v>
      </c>
      <c r="B72" s="27" t="s">
        <v>52</v>
      </c>
      <c r="C72" s="2" t="s">
        <v>68</v>
      </c>
      <c r="G72" s="2">
        <v>3</v>
      </c>
      <c r="H72" s="2">
        <v>6</v>
      </c>
      <c r="I72" s="2">
        <v>9</v>
      </c>
      <c r="K72" s="2">
        <v>0</v>
      </c>
      <c r="L72" s="2">
        <v>1</v>
      </c>
      <c r="M72" s="2">
        <v>1</v>
      </c>
      <c r="O72" s="2">
        <v>0</v>
      </c>
      <c r="P72" s="2">
        <v>10</v>
      </c>
      <c r="Q72" s="2">
        <v>10</v>
      </c>
      <c r="S72" s="2">
        <f>SUM(I72+M72+Q72)</f>
        <v>20</v>
      </c>
    </row>
    <row r="73" spans="1:19" x14ac:dyDescent="0.3">
      <c r="A73" s="3"/>
      <c r="B73" s="27" t="s">
        <v>53</v>
      </c>
      <c r="C73" s="2" t="s">
        <v>68</v>
      </c>
    </row>
    <row r="74" spans="1:19" x14ac:dyDescent="0.3">
      <c r="A74" s="3"/>
      <c r="B74" s="27" t="s">
        <v>54</v>
      </c>
      <c r="C74" s="2" t="s">
        <v>68</v>
      </c>
    </row>
    <row r="75" spans="1:19" x14ac:dyDescent="0.3">
      <c r="A75" s="3"/>
      <c r="B75" s="27" t="s">
        <v>55</v>
      </c>
      <c r="C75" s="2" t="s">
        <v>68</v>
      </c>
    </row>
    <row r="77" spans="1:19" x14ac:dyDescent="0.3">
      <c r="A77" s="3" t="s">
        <v>61</v>
      </c>
      <c r="B77" s="28" t="s">
        <v>57</v>
      </c>
      <c r="G77" s="2">
        <v>6</v>
      </c>
      <c r="H77" s="2">
        <v>0</v>
      </c>
      <c r="I77" s="2">
        <v>6</v>
      </c>
      <c r="K77" s="2">
        <v>0</v>
      </c>
      <c r="L77" s="2">
        <v>0</v>
      </c>
      <c r="M77" s="2">
        <v>0</v>
      </c>
      <c r="O77" s="2">
        <v>0</v>
      </c>
      <c r="P77" s="2">
        <v>2</v>
      </c>
      <c r="Q77" s="2">
        <v>2</v>
      </c>
      <c r="S77" s="2">
        <f>SUM(I77+M77+Q77)</f>
        <v>8</v>
      </c>
    </row>
    <row r="78" spans="1:19" x14ac:dyDescent="0.3">
      <c r="A78" s="3"/>
      <c r="B78" s="28" t="s">
        <v>58</v>
      </c>
      <c r="C78" s="2" t="s">
        <v>68</v>
      </c>
    </row>
    <row r="79" spans="1:19" x14ac:dyDescent="0.3">
      <c r="A79" s="3"/>
      <c r="B79" s="28" t="s">
        <v>59</v>
      </c>
    </row>
    <row r="80" spans="1:19" x14ac:dyDescent="0.3">
      <c r="A80" s="3"/>
      <c r="B80" s="28" t="s">
        <v>60</v>
      </c>
      <c r="C80" s="2" t="s">
        <v>68</v>
      </c>
    </row>
  </sheetData>
  <autoFilter ref="A1:S80" xr:uid="{D7DA7EDB-097F-487A-B998-4ADF4B4A905D}"/>
  <mergeCells count="16">
    <mergeCell ref="A77:A80"/>
    <mergeCell ref="A27:A30"/>
    <mergeCell ref="A72:A75"/>
    <mergeCell ref="A2:A5"/>
    <mergeCell ref="A7:A10"/>
    <mergeCell ref="A12:A15"/>
    <mergeCell ref="A17:A20"/>
    <mergeCell ref="A22:A25"/>
    <mergeCell ref="A62:A65"/>
    <mergeCell ref="A67:A70"/>
    <mergeCell ref="A32:A35"/>
    <mergeCell ref="A37:A40"/>
    <mergeCell ref="A42:A45"/>
    <mergeCell ref="A47:A50"/>
    <mergeCell ref="A52:A55"/>
    <mergeCell ref="A57:A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ECFC-9BB3-43AC-9910-5F47F9DD7EA5}">
  <dimension ref="A2:A80"/>
  <sheetViews>
    <sheetView workbookViewId="0">
      <selection activeCell="D18" sqref="D18"/>
    </sheetView>
  </sheetViews>
  <sheetFormatPr defaultRowHeight="14.4" x14ac:dyDescent="0.3"/>
  <cols>
    <col min="1" max="1" width="13.5546875" style="1" bestFit="1" customWidth="1"/>
  </cols>
  <sheetData>
    <row r="2" spans="1:1" ht="14.4" customHeight="1" x14ac:dyDescent="0.3">
      <c r="A2" s="29" t="s">
        <v>0</v>
      </c>
    </row>
    <row r="3" spans="1:1" x14ac:dyDescent="0.3">
      <c r="A3" s="29"/>
    </row>
    <row r="4" spans="1:1" x14ac:dyDescent="0.3">
      <c r="A4" s="29"/>
    </row>
    <row r="5" spans="1:1" x14ac:dyDescent="0.3">
      <c r="A5" s="29"/>
    </row>
    <row r="7" spans="1:1" ht="14.4" customHeight="1" x14ac:dyDescent="0.3">
      <c r="A7" s="29" t="s">
        <v>5</v>
      </c>
    </row>
    <row r="8" spans="1:1" x14ac:dyDescent="0.3">
      <c r="A8" s="29"/>
    </row>
    <row r="9" spans="1:1" x14ac:dyDescent="0.3">
      <c r="A9" s="29"/>
    </row>
    <row r="10" spans="1:1" x14ac:dyDescent="0.3">
      <c r="A10" s="29"/>
    </row>
    <row r="12" spans="1:1" ht="14.4" customHeight="1" x14ac:dyDescent="0.3">
      <c r="A12" s="29" t="s">
        <v>10</v>
      </c>
    </row>
    <row r="13" spans="1:1" x14ac:dyDescent="0.3">
      <c r="A13" s="29"/>
    </row>
    <row r="14" spans="1:1" x14ac:dyDescent="0.3">
      <c r="A14" s="29"/>
    </row>
    <row r="15" spans="1:1" x14ac:dyDescent="0.3">
      <c r="A15" s="29"/>
    </row>
    <row r="17" spans="1:1" ht="14.4" customHeight="1" x14ac:dyDescent="0.3">
      <c r="A17" s="29" t="s">
        <v>12</v>
      </c>
    </row>
    <row r="18" spans="1:1" x14ac:dyDescent="0.3">
      <c r="A18" s="29"/>
    </row>
    <row r="19" spans="1:1" x14ac:dyDescent="0.3">
      <c r="A19" s="29"/>
    </row>
    <row r="20" spans="1:1" x14ac:dyDescent="0.3">
      <c r="A20" s="29"/>
    </row>
    <row r="22" spans="1:1" ht="14.4" customHeight="1" x14ac:dyDescent="0.3">
      <c r="A22" s="29" t="s">
        <v>71</v>
      </c>
    </row>
    <row r="23" spans="1:1" x14ac:dyDescent="0.3">
      <c r="A23" s="29"/>
    </row>
    <row r="24" spans="1:1" x14ac:dyDescent="0.3">
      <c r="A24" s="29"/>
    </row>
    <row r="25" spans="1:1" x14ac:dyDescent="0.3">
      <c r="A25" s="29"/>
    </row>
    <row r="27" spans="1:1" ht="14.4" customHeight="1" x14ac:dyDescent="0.3">
      <c r="A27" s="29" t="s">
        <v>72</v>
      </c>
    </row>
    <row r="28" spans="1:1" x14ac:dyDescent="0.3">
      <c r="A28" s="29"/>
    </row>
    <row r="29" spans="1:1" x14ac:dyDescent="0.3">
      <c r="A29" s="29"/>
    </row>
    <row r="30" spans="1:1" x14ac:dyDescent="0.3">
      <c r="A30" s="29"/>
    </row>
    <row r="32" spans="1:1" ht="14.4" customHeight="1" x14ac:dyDescent="0.3">
      <c r="A32" s="29" t="s">
        <v>17</v>
      </c>
    </row>
    <row r="33" spans="1:1" x14ac:dyDescent="0.3">
      <c r="A33" s="29"/>
    </row>
    <row r="34" spans="1:1" x14ac:dyDescent="0.3">
      <c r="A34" s="29"/>
    </row>
    <row r="35" spans="1:1" x14ac:dyDescent="0.3">
      <c r="A35" s="29"/>
    </row>
    <row r="37" spans="1:1" ht="14.4" customHeight="1" x14ac:dyDescent="0.3">
      <c r="A37" s="29" t="s">
        <v>22</v>
      </c>
    </row>
    <row r="38" spans="1:1" x14ac:dyDescent="0.3">
      <c r="A38" s="29"/>
    </row>
    <row r="39" spans="1:1" x14ac:dyDescent="0.3">
      <c r="A39" s="29"/>
    </row>
    <row r="40" spans="1:1" x14ac:dyDescent="0.3">
      <c r="A40" s="29"/>
    </row>
    <row r="42" spans="1:1" ht="14.4" customHeight="1" x14ac:dyDescent="0.3">
      <c r="A42" s="29" t="s">
        <v>73</v>
      </c>
    </row>
    <row r="43" spans="1:1" x14ac:dyDescent="0.3">
      <c r="A43" s="29"/>
    </row>
    <row r="44" spans="1:1" x14ac:dyDescent="0.3">
      <c r="A44" s="29"/>
    </row>
    <row r="45" spans="1:1" x14ac:dyDescent="0.3">
      <c r="A45" s="29"/>
    </row>
    <row r="47" spans="1:1" ht="14.4" customHeight="1" x14ac:dyDescent="0.3">
      <c r="A47" s="29" t="s">
        <v>27</v>
      </c>
    </row>
    <row r="48" spans="1:1" x14ac:dyDescent="0.3">
      <c r="A48" s="29"/>
    </row>
    <row r="49" spans="1:1" x14ac:dyDescent="0.3">
      <c r="A49" s="29"/>
    </row>
    <row r="50" spans="1:1" x14ac:dyDescent="0.3">
      <c r="A50" s="29"/>
    </row>
    <row r="52" spans="1:1" ht="14.4" customHeight="1" x14ac:dyDescent="0.3">
      <c r="A52" s="29" t="s">
        <v>32</v>
      </c>
    </row>
    <row r="53" spans="1:1" x14ac:dyDescent="0.3">
      <c r="A53" s="29"/>
    </row>
    <row r="54" spans="1:1" x14ac:dyDescent="0.3">
      <c r="A54" s="29"/>
    </row>
    <row r="55" spans="1:1" x14ac:dyDescent="0.3">
      <c r="A55" s="29"/>
    </row>
    <row r="57" spans="1:1" ht="14.4" customHeight="1" x14ac:dyDescent="0.3">
      <c r="A57" s="29" t="s">
        <v>37</v>
      </c>
    </row>
    <row r="58" spans="1:1" x14ac:dyDescent="0.3">
      <c r="A58" s="29"/>
    </row>
    <row r="59" spans="1:1" x14ac:dyDescent="0.3">
      <c r="A59" s="29"/>
    </row>
    <row r="60" spans="1:1" x14ac:dyDescent="0.3">
      <c r="A60" s="29"/>
    </row>
    <row r="62" spans="1:1" ht="14.4" customHeight="1" x14ac:dyDescent="0.3">
      <c r="A62" s="29" t="s">
        <v>42</v>
      </c>
    </row>
    <row r="63" spans="1:1" x14ac:dyDescent="0.3">
      <c r="A63" s="29"/>
    </row>
    <row r="64" spans="1:1" x14ac:dyDescent="0.3">
      <c r="A64" s="29"/>
    </row>
    <row r="65" spans="1:1" x14ac:dyDescent="0.3">
      <c r="A65" s="29"/>
    </row>
    <row r="67" spans="1:1" ht="14.4" customHeight="1" x14ac:dyDescent="0.3">
      <c r="A67" s="29" t="s">
        <v>47</v>
      </c>
    </row>
    <row r="68" spans="1:1" x14ac:dyDescent="0.3">
      <c r="A68" s="29"/>
    </row>
    <row r="69" spans="1:1" x14ac:dyDescent="0.3">
      <c r="A69" s="29"/>
    </row>
    <row r="70" spans="1:1" x14ac:dyDescent="0.3">
      <c r="A70" s="29"/>
    </row>
    <row r="72" spans="1:1" ht="14.4" customHeight="1" x14ac:dyDescent="0.3">
      <c r="A72" s="29" t="s">
        <v>56</v>
      </c>
    </row>
    <row r="73" spans="1:1" x14ac:dyDescent="0.3">
      <c r="A73" s="29"/>
    </row>
    <row r="74" spans="1:1" x14ac:dyDescent="0.3">
      <c r="A74" s="29"/>
    </row>
    <row r="75" spans="1:1" x14ac:dyDescent="0.3">
      <c r="A75" s="29"/>
    </row>
    <row r="77" spans="1:1" ht="14.4" customHeight="1" x14ac:dyDescent="0.3">
      <c r="A77" s="29" t="s">
        <v>61</v>
      </c>
    </row>
    <row r="78" spans="1:1" x14ac:dyDescent="0.3">
      <c r="A78" s="29"/>
    </row>
    <row r="79" spans="1:1" x14ac:dyDescent="0.3">
      <c r="A79" s="29"/>
    </row>
    <row r="80" spans="1:1" x14ac:dyDescent="0.3">
      <c r="A80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1FF7-DCAF-41EE-9B9A-E5F7B9BF5648}">
  <dimension ref="A1:E18"/>
  <sheetViews>
    <sheetView tabSelected="1" workbookViewId="0">
      <selection activeCell="G11" sqref="G11"/>
    </sheetView>
  </sheetViews>
  <sheetFormatPr defaultRowHeight="14.4" x14ac:dyDescent="0.3"/>
  <cols>
    <col min="1" max="1" width="17.44140625" customWidth="1"/>
    <col min="5" max="5" width="13.6640625" customWidth="1"/>
  </cols>
  <sheetData>
    <row r="1" spans="1:5" x14ac:dyDescent="0.3">
      <c r="A1" s="30" t="s">
        <v>81</v>
      </c>
      <c r="B1" s="30" t="s">
        <v>83</v>
      </c>
      <c r="C1" s="30" t="s">
        <v>84</v>
      </c>
      <c r="D1" s="30" t="s">
        <v>85</v>
      </c>
      <c r="E1" s="30" t="s">
        <v>82</v>
      </c>
    </row>
    <row r="2" spans="1:5" x14ac:dyDescent="0.3">
      <c r="A2" s="2" t="s">
        <v>12</v>
      </c>
      <c r="B2" s="2">
        <v>21</v>
      </c>
      <c r="C2" s="2">
        <v>11</v>
      </c>
      <c r="D2" s="2">
        <v>14</v>
      </c>
      <c r="E2" s="2">
        <f>SUM(B2:D2)</f>
        <v>46</v>
      </c>
    </row>
    <row r="3" spans="1:5" x14ac:dyDescent="0.3">
      <c r="A3" s="2" t="s">
        <v>10</v>
      </c>
      <c r="B3" s="2">
        <v>10</v>
      </c>
      <c r="C3" s="2">
        <v>22</v>
      </c>
      <c r="D3" s="2">
        <v>13</v>
      </c>
      <c r="E3" s="2">
        <f>SUM(B3:D3)</f>
        <v>45</v>
      </c>
    </row>
    <row r="4" spans="1:5" x14ac:dyDescent="0.3">
      <c r="A4" s="2" t="s">
        <v>73</v>
      </c>
      <c r="B4" s="2">
        <v>2</v>
      </c>
      <c r="C4" s="2">
        <v>18</v>
      </c>
      <c r="D4" s="2">
        <v>12</v>
      </c>
      <c r="E4" s="2">
        <f>SUM(B4:D4)</f>
        <v>32</v>
      </c>
    </row>
    <row r="5" spans="1:5" x14ac:dyDescent="0.3">
      <c r="A5" s="2" t="s">
        <v>56</v>
      </c>
      <c r="B5" s="2">
        <v>9</v>
      </c>
      <c r="C5" s="2">
        <v>1</v>
      </c>
      <c r="D5" s="2">
        <v>10</v>
      </c>
      <c r="E5" s="2">
        <f>SUM(B5:D5)</f>
        <v>20</v>
      </c>
    </row>
    <row r="6" spans="1:5" x14ac:dyDescent="0.3">
      <c r="A6" s="2" t="s">
        <v>32</v>
      </c>
      <c r="B6" s="2">
        <v>3</v>
      </c>
      <c r="C6" s="2">
        <v>5</v>
      </c>
      <c r="D6" s="2">
        <v>5</v>
      </c>
      <c r="E6" s="2">
        <f>SUM(B6:D6)</f>
        <v>13</v>
      </c>
    </row>
    <row r="7" spans="1:5" x14ac:dyDescent="0.3">
      <c r="A7" s="2" t="s">
        <v>22</v>
      </c>
      <c r="B7" s="2">
        <v>10</v>
      </c>
      <c r="C7" s="2">
        <v>0</v>
      </c>
      <c r="D7" s="2">
        <v>2</v>
      </c>
      <c r="E7" s="2">
        <f>SUM(B7:D7)</f>
        <v>12</v>
      </c>
    </row>
    <row r="8" spans="1:5" x14ac:dyDescent="0.3">
      <c r="A8" s="2" t="s">
        <v>17</v>
      </c>
      <c r="B8" s="2">
        <v>2</v>
      </c>
      <c r="C8" s="2">
        <v>8</v>
      </c>
      <c r="D8" s="2">
        <v>1</v>
      </c>
      <c r="E8" s="2">
        <f>SUM(B8:D8)</f>
        <v>11</v>
      </c>
    </row>
    <row r="9" spans="1:5" x14ac:dyDescent="0.3">
      <c r="A9" s="2" t="s">
        <v>5</v>
      </c>
      <c r="B9" s="2">
        <v>0</v>
      </c>
      <c r="C9" s="2">
        <v>0</v>
      </c>
      <c r="D9" s="2">
        <v>10</v>
      </c>
      <c r="E9" s="2">
        <f>SUM(B9:D9)</f>
        <v>10</v>
      </c>
    </row>
    <row r="10" spans="1:5" x14ac:dyDescent="0.3">
      <c r="A10" s="2" t="s">
        <v>71</v>
      </c>
      <c r="B10" s="2">
        <v>0</v>
      </c>
      <c r="C10" s="2">
        <v>4</v>
      </c>
      <c r="D10" s="2">
        <v>4</v>
      </c>
      <c r="E10" s="2">
        <f>SUM(B10:D10)</f>
        <v>8</v>
      </c>
    </row>
    <row r="11" spans="1:5" x14ac:dyDescent="0.3">
      <c r="A11" s="2" t="s">
        <v>61</v>
      </c>
      <c r="B11" s="2">
        <v>6</v>
      </c>
      <c r="C11" s="2">
        <v>0</v>
      </c>
      <c r="D11" s="2">
        <v>2</v>
      </c>
      <c r="E11" s="2">
        <f>SUM(B11:D11)</f>
        <v>8</v>
      </c>
    </row>
    <row r="12" spans="1:5" x14ac:dyDescent="0.3">
      <c r="A12" s="2" t="s">
        <v>27</v>
      </c>
      <c r="B12" s="2">
        <v>5</v>
      </c>
      <c r="C12" s="2">
        <v>0</v>
      </c>
      <c r="D12" s="2">
        <v>2</v>
      </c>
      <c r="E12" s="2">
        <f>SUM(B12:D12)</f>
        <v>7</v>
      </c>
    </row>
    <row r="13" spans="1:5" x14ac:dyDescent="0.3">
      <c r="A13" s="2" t="s">
        <v>0</v>
      </c>
      <c r="B13" s="2">
        <v>1</v>
      </c>
      <c r="C13" s="2">
        <v>0</v>
      </c>
      <c r="D13" s="2">
        <v>5</v>
      </c>
      <c r="E13" s="2">
        <f>SUM(B13:D13)</f>
        <v>6</v>
      </c>
    </row>
    <row r="14" spans="1:5" x14ac:dyDescent="0.3">
      <c r="A14" s="2" t="s">
        <v>72</v>
      </c>
      <c r="B14" s="2">
        <v>0</v>
      </c>
      <c r="C14" s="2">
        <v>3</v>
      </c>
      <c r="D14" s="2">
        <v>2</v>
      </c>
      <c r="E14" s="2">
        <f>SUM(B14:D14)</f>
        <v>5</v>
      </c>
    </row>
    <row r="15" spans="1:5" x14ac:dyDescent="0.3">
      <c r="A15" s="2" t="s">
        <v>42</v>
      </c>
      <c r="B15" s="2">
        <v>0</v>
      </c>
      <c r="C15" s="2">
        <v>4</v>
      </c>
      <c r="D15" s="2">
        <v>1</v>
      </c>
      <c r="E15" s="2">
        <f>SUM(B15:D15)</f>
        <v>5</v>
      </c>
    </row>
    <row r="16" spans="1:5" x14ac:dyDescent="0.3">
      <c r="A16" s="2" t="s">
        <v>47</v>
      </c>
      <c r="B16" s="2">
        <v>0</v>
      </c>
      <c r="C16" s="2">
        <v>3</v>
      </c>
      <c r="D16" s="2">
        <v>1</v>
      </c>
      <c r="E16" s="2">
        <f>SUM(B16:D16)</f>
        <v>4</v>
      </c>
    </row>
    <row r="17" spans="1:5" x14ac:dyDescent="0.3">
      <c r="A17" s="2" t="s">
        <v>37</v>
      </c>
      <c r="B17" s="2">
        <v>1</v>
      </c>
      <c r="C17" s="2">
        <v>1</v>
      </c>
      <c r="D17" s="2">
        <v>0</v>
      </c>
      <c r="E17" s="2">
        <f>SUM(B17:D17)</f>
        <v>2</v>
      </c>
    </row>
    <row r="18" spans="1:5" x14ac:dyDescent="0.3">
      <c r="A18" s="2"/>
      <c r="B18" s="2"/>
      <c r="C18" s="2"/>
      <c r="D18" s="2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Musale</dc:creator>
  <cp:lastModifiedBy>Aayush Pednekar</cp:lastModifiedBy>
  <dcterms:created xsi:type="dcterms:W3CDTF">2025-11-05T16:14:08Z</dcterms:created>
  <dcterms:modified xsi:type="dcterms:W3CDTF">2025-11-06T11:02:29Z</dcterms:modified>
</cp:coreProperties>
</file>