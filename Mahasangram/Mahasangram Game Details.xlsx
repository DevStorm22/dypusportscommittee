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YPU Sports Committee\dypusportscommittee\Mahasangram\"/>
    </mc:Choice>
  </mc:AlternateContent>
  <xr:revisionPtr revIDLastSave="0" documentId="13_ncr:1_{46BDFB21-CBFF-4BAB-B0EA-03599F75F42D}" xr6:coauthVersionLast="47" xr6:coauthVersionMax="47" xr10:uidLastSave="{00000000-0000-0000-0000-000000000000}"/>
  <bookViews>
    <workbookView xWindow="-108" yWindow="-108" windowWidth="23256" windowHeight="13176" xr2:uid="{580298F3-C26A-4233-8542-F092FA01C6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Q15" i="1"/>
  <c r="P15" i="1"/>
  <c r="J7" i="1"/>
  <c r="J8" i="1"/>
  <c r="J9" i="1"/>
  <c r="J10" i="1"/>
  <c r="J11" i="1"/>
  <c r="J12" i="1"/>
  <c r="J14" i="1"/>
  <c r="I2" i="1"/>
  <c r="I15" i="1" s="1"/>
  <c r="I3" i="1"/>
  <c r="I4" i="1"/>
  <c r="I5" i="1"/>
  <c r="I6" i="1"/>
  <c r="I7" i="1"/>
  <c r="I8" i="1"/>
  <c r="I9" i="1"/>
  <c r="I10" i="1"/>
  <c r="I11" i="1"/>
  <c r="I12" i="1"/>
  <c r="I13" i="1"/>
  <c r="I14" i="1"/>
  <c r="E15" i="1"/>
  <c r="F15" i="1"/>
  <c r="G15" i="1"/>
  <c r="L15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N2" i="1"/>
  <c r="N15" i="1" s="1"/>
  <c r="N3" i="1"/>
  <c r="N4" i="1"/>
  <c r="N5" i="1"/>
  <c r="N6" i="1"/>
  <c r="N7" i="1"/>
  <c r="N8" i="1"/>
  <c r="N9" i="1"/>
  <c r="N10" i="1"/>
  <c r="N11" i="1"/>
  <c r="N12" i="1"/>
  <c r="N13" i="1"/>
  <c r="N1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H3" i="1"/>
  <c r="J3" i="1" s="1"/>
  <c r="H4" i="1"/>
  <c r="J4" i="1" s="1"/>
  <c r="H5" i="1"/>
  <c r="J5" i="1" s="1"/>
  <c r="H6" i="1"/>
  <c r="J6" i="1" s="1"/>
  <c r="H7" i="1"/>
  <c r="H8" i="1"/>
  <c r="H9" i="1"/>
  <c r="H10" i="1"/>
  <c r="H11" i="1"/>
  <c r="H12" i="1"/>
  <c r="H13" i="1"/>
  <c r="J13" i="1" s="1"/>
  <c r="H14" i="1"/>
  <c r="H2" i="1"/>
  <c r="J2" i="1" s="1"/>
  <c r="J15" i="1" l="1"/>
  <c r="M15" i="1"/>
  <c r="O15" i="1"/>
  <c r="H15" i="1"/>
</calcChain>
</file>

<file path=xl/sharedStrings.xml><?xml version="1.0" encoding="utf-8"?>
<sst xmlns="http://schemas.openxmlformats.org/spreadsheetml/2006/main" count="33" uniqueCount="33">
  <si>
    <t>Game</t>
  </si>
  <si>
    <t>Registration Fees</t>
  </si>
  <si>
    <t>Sr. No.</t>
  </si>
  <si>
    <t>BGMI</t>
  </si>
  <si>
    <t>Free Fire</t>
  </si>
  <si>
    <t>Valorant</t>
  </si>
  <si>
    <t>Chess</t>
  </si>
  <si>
    <t>Carrom</t>
  </si>
  <si>
    <t>Cricket</t>
  </si>
  <si>
    <t>Football</t>
  </si>
  <si>
    <t>Volleyball</t>
  </si>
  <si>
    <t>Basketball</t>
  </si>
  <si>
    <t>Badminton(Singles)</t>
  </si>
  <si>
    <t>Badminton(Doubles)</t>
  </si>
  <si>
    <t>Tug of war</t>
  </si>
  <si>
    <t>Kho-Kho</t>
  </si>
  <si>
    <t>First Prize</t>
  </si>
  <si>
    <t>Second Prize</t>
  </si>
  <si>
    <t>Third Prize</t>
  </si>
  <si>
    <t>Total Prize pool</t>
  </si>
  <si>
    <t>Registration Estimated</t>
  </si>
  <si>
    <t>Total</t>
  </si>
  <si>
    <t>No. of trophies</t>
  </si>
  <si>
    <t>No. of medals (Bronze)</t>
  </si>
  <si>
    <t>No. of medals (Silver)</t>
  </si>
  <si>
    <t>Total No. of certifications required</t>
  </si>
  <si>
    <t>Total Team sized</t>
  </si>
  <si>
    <t>Trophy Price</t>
  </si>
  <si>
    <t>Silver medal price</t>
  </si>
  <si>
    <t>Bronze medal price</t>
  </si>
  <si>
    <t>Total Registration Amount</t>
  </si>
  <si>
    <t>Balance amount (Total Registration - Total Price pool)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</si>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</sst>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64141-71C6-48BD-86DC-F47C336B6195}" name="Table1" displayName="Table1" ref="A1:R15" totalsRowCount="1">
  <autoFilter ref="A1:R14" xr:uid="{56E64141-71C6-48BD-86DC-F47C336B6195}"/>
  <tableColumns count="18">
    <tableColumn id="1" xr3:uid="{4E30065E-C005-4287-A60B-3B1349AC2EEE}" name="Sr. No."/>
    <tableColumn id="2" xr3:uid="{124CAB7E-B45D-45F3-8FA2-42BC2CEA9250}" name="Game" totalsRowLabel="Total"/>
    <tableColumn id="3" xr3:uid="{70670B2C-7636-49FD-8E7F-026BDF27715E}" name="Registration Fees"/>
    <tableColumn id="8" xr3:uid="{61FFA9D7-32A9-450F-807B-6E85B52671BB}" name="Registration Estimated"/>
    <tableColumn id="4" xr3:uid="{89200688-DA87-4DD9-B5F0-9797824B7803}" name="First Prize" totalsRowFunction="custom">
      <totalsRowFormula>SUM(Table1[First Prize])</totalsRowFormula>
    </tableColumn>
    <tableColumn id="5" xr3:uid="{3A1AB10B-0228-4738-B5B7-75BDC718946B}" name="Second Prize" totalsRowFunction="custom">
      <totalsRowFormula>SUM(Table1[Second Prize])</totalsRowFormula>
    </tableColumn>
    <tableColumn id="6" xr3:uid="{04D89FA4-8F85-485A-8DA8-FBB7748EF906}" name="Third Prize" totalsRowFunction="custom">
      <totalsRowFormula>SUM(Table1[Third Prize])</totalsRowFormula>
    </tableColumn>
    <tableColumn id="7" xr3:uid="{BF5A2893-5CA4-4E0B-983C-F21481A281A8}" name="Total Prize pool" totalsRowFunction="custom">
      <calculatedColumnFormula>SUM(E2:G2)</calculatedColumnFormula>
      <totalsRowFormula>SUM(Table1[Total Prize pool])</totalsRowFormula>
    </tableColumn>
    <tableColumn id="17" xr3:uid="{C1451678-2BD4-4987-B5D4-4DA3A0880164}" name="Total Registration Amount" totalsRowFunction="sum" dataDxfId="7">
      <calculatedColumnFormula>Table1[[#This Row],[Registration Fees]]*Table1[[#This Row],[Registration Estimated]]</calculatedColumnFormula>
    </tableColumn>
    <tableColumn id="18" xr3:uid="{793D691F-A7B8-4310-B78C-64AAF430F950}" name="Balance amount (Total Registration - Total Price pool)" totalsRowFunction="sum" dataDxfId="6">
      <calculatedColumnFormula>Table1[[#This Row],[Total Registration Amount]]-Table1[[#This Row],[Total Prize pool]]</calculatedColumnFormula>
    </tableColumn>
    <tableColumn id="9" xr3:uid="{F02F6207-BC28-424F-97B6-167E8162FE6B}" name="Total Team sized"/>
    <tableColumn id="10" xr3:uid="{35654DED-D944-49B1-8165-C6D7DD223BDC}" name="No. of trophies" totalsRowFunction="custom">
      <totalsRowFormula>SUM(Table1[No. of trophies])</totalsRowFormula>
    </tableColumn>
    <tableColumn id="13" xr3:uid="{03F271B9-7E53-4ABC-9E92-B11E6EE7F1EC}" name="No. of medals (Silver)" totalsRowFunction="custom" dataDxfId="5">
      <calculatedColumnFormula>Table1[[#This Row],[Total Team sized]]</calculatedColumnFormula>
      <totalsRowFormula>SUM(Table1[No. of medals (Silver)])</totalsRowFormula>
    </tableColumn>
    <tableColumn id="11" xr3:uid="{E8564BD1-50B3-43C1-B885-96431E92AC7C}" name="No. of medals (Bronze)" totalsRowFunction="custom" dataDxfId="4">
      <calculatedColumnFormula>Table1[[#This Row],[Total Team sized]]</calculatedColumnFormula>
      <totalsRowFormula>SUM(Table1[No. of medals (Bronze)])</totalsRowFormula>
    </tableColumn>
    <tableColumn id="12" xr3:uid="{8FF4F670-3234-4354-B012-3ED724C59E69}" name="Total No. of certifications required" totalsRowFunction="custom" dataDxfId="3">
      <calculatedColumnFormula>Table1[[#This Row],[Total Team sized]]*3</calculatedColumnFormula>
      <totalsRowFormula>SUM(Table1[Total No. of certifications required])</totalsRowFormula>
    </tableColumn>
    <tableColumn id="14" xr3:uid="{80EE8D96-59FF-4396-9E8A-4D00623C74D2}" name="Trophy Price" totalsRowFunction="sum" dataDxfId="2"/>
    <tableColumn id="15" xr3:uid="{209989D3-7A70-4991-8FDC-DC9EF9FB1799}" name="Silver medal price" totalsRowFunction="sum" dataDxfId="1"/>
    <tableColumn id="16" xr3:uid="{6697BF78-8AFF-427D-B3A8-008C9AEA5312}" name="Bronze medal price" totalsRowFunction="sum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C649-C8A8-4F1D-9B60-BE82A3F3F194}">
  <dimension ref="A1:R15"/>
  <sheetViews>
    <sheetView tabSelected="1" workbookViewId="0">
      <selection activeCell="C17" sqref="C17"/>
    </sheetView>
  </sheetViews>
  <sheetFormatPr defaultRowHeight="14.4" x14ac:dyDescent="0.3"/>
  <cols>
    <col min="2" max="2" width="17.77734375" bestFit="1" customWidth="1"/>
    <col min="3" max="3" width="17.44140625" bestFit="1" customWidth="1"/>
    <col min="4" max="4" width="22.21875" bestFit="1" customWidth="1"/>
    <col min="5" max="5" width="11.109375" bestFit="1" customWidth="1"/>
    <col min="6" max="6" width="13.88671875" bestFit="1" customWidth="1"/>
    <col min="7" max="7" width="12" bestFit="1" customWidth="1"/>
    <col min="8" max="8" width="16.21875" bestFit="1" customWidth="1"/>
    <col min="9" max="9" width="25.5546875" bestFit="1" customWidth="1"/>
    <col min="10" max="10" width="48.88671875" bestFit="1" customWidth="1"/>
    <col min="11" max="11" width="17.21875" bestFit="1" customWidth="1"/>
    <col min="12" max="12" width="15.88671875" bestFit="1" customWidth="1"/>
    <col min="13" max="13" width="21.44140625" bestFit="1" customWidth="1"/>
    <col min="14" max="14" width="22.6640625" bestFit="1" customWidth="1"/>
    <col min="15" max="15" width="32.44140625" bestFit="1" customWidth="1"/>
    <col min="16" max="16" width="13.77734375" bestFit="1" customWidth="1"/>
    <col min="17" max="17" width="18.109375" bestFit="1" customWidth="1"/>
    <col min="18" max="18" width="19.44140625" bestFit="1" customWidth="1"/>
  </cols>
  <sheetData>
    <row r="1" spans="1:18" x14ac:dyDescent="0.3">
      <c r="A1" t="s">
        <v>2</v>
      </c>
      <c r="B1" t="s">
        <v>0</v>
      </c>
      <c r="C1" t="s">
        <v>1</v>
      </c>
      <c r="D1" t="s">
        <v>20</v>
      </c>
      <c r="E1" t="s">
        <v>16</v>
      </c>
      <c r="F1" t="s">
        <v>17</v>
      </c>
      <c r="G1" t="s">
        <v>18</v>
      </c>
      <c r="H1" t="s">
        <v>19</v>
      </c>
      <c r="I1" t="s">
        <v>30</v>
      </c>
      <c r="J1" t="s">
        <v>31</v>
      </c>
      <c r="K1" t="s">
        <v>26</v>
      </c>
      <c r="L1" t="s">
        <v>22</v>
      </c>
      <c r="M1" t="s">
        <v>24</v>
      </c>
      <c r="N1" t="s">
        <v>23</v>
      </c>
      <c r="O1" t="s">
        <v>25</v>
      </c>
      <c r="P1" t="s">
        <v>27</v>
      </c>
      <c r="Q1" t="s">
        <v>28</v>
      </c>
      <c r="R1" t="s">
        <v>29</v>
      </c>
    </row>
    <row r="2" spans="1:18" x14ac:dyDescent="0.3">
      <c r="A2">
        <v>1</v>
      </c>
      <c r="B2" t="s">
        <v>3</v>
      </c>
      <c r="C2">
        <v>500</v>
      </c>
      <c r="D2">
        <v>20</v>
      </c>
      <c r="E2">
        <v>5000</v>
      </c>
      <c r="F2">
        <v>3000</v>
      </c>
      <c r="G2">
        <v>2000</v>
      </c>
      <c r="H2">
        <f>SUM(E2:G2)</f>
        <v>10000</v>
      </c>
      <c r="I2">
        <f>Table1[[#This Row],[Registration Fees]]*Table1[[#This Row],[Registration Estimated]]</f>
        <v>10000</v>
      </c>
      <c r="J2">
        <f>Table1[[#This Row],[Total Registration Amount]]-Table1[[#This Row],[Total Prize pool]]</f>
        <v>0</v>
      </c>
      <c r="K2">
        <v>4</v>
      </c>
      <c r="L2">
        <v>1</v>
      </c>
      <c r="M2">
        <f>Table1[[#This Row],[Total Team sized]]</f>
        <v>4</v>
      </c>
      <c r="N2">
        <f>Table1[[#This Row],[Total Team sized]]</f>
        <v>4</v>
      </c>
      <c r="O2">
        <f>Table1[[#This Row],[Total Team sized]]*3</f>
        <v>12</v>
      </c>
      <c r="P2">
        <v>1000</v>
      </c>
      <c r="Q2">
        <v>40</v>
      </c>
      <c r="R2">
        <v>40</v>
      </c>
    </row>
    <row r="3" spans="1:18" x14ac:dyDescent="0.3">
      <c r="A3">
        <v>2</v>
      </c>
      <c r="B3" t="s">
        <v>4</v>
      </c>
      <c r="C3">
        <v>500</v>
      </c>
      <c r="D3">
        <v>15</v>
      </c>
      <c r="E3">
        <v>3000</v>
      </c>
      <c r="F3">
        <v>2000</v>
      </c>
      <c r="G3">
        <v>1500</v>
      </c>
      <c r="H3">
        <f t="shared" ref="H3:H14" si="0">SUM(E3:G3)</f>
        <v>6500</v>
      </c>
      <c r="I3">
        <f>Table1[[#This Row],[Registration Fees]]*Table1[[#This Row],[Registration Estimated]]</f>
        <v>7500</v>
      </c>
      <c r="J3">
        <f>Table1[[#This Row],[Total Registration Amount]]-Table1[[#This Row],[Total Prize pool]]</f>
        <v>1000</v>
      </c>
      <c r="K3">
        <v>4</v>
      </c>
      <c r="L3">
        <v>1</v>
      </c>
      <c r="M3">
        <f>Table1[[#This Row],[Total Team sized]]</f>
        <v>4</v>
      </c>
      <c r="N3">
        <f>Table1[[#This Row],[Total Team sized]]</f>
        <v>4</v>
      </c>
      <c r="O3">
        <f>Table1[[#This Row],[Total Team sized]]*3</f>
        <v>12</v>
      </c>
      <c r="P3">
        <v>1000</v>
      </c>
      <c r="Q3">
        <v>40</v>
      </c>
      <c r="R3">
        <v>40</v>
      </c>
    </row>
    <row r="4" spans="1:18" x14ac:dyDescent="0.3">
      <c r="A4">
        <v>3</v>
      </c>
      <c r="B4" t="s">
        <v>5</v>
      </c>
      <c r="C4">
        <v>750</v>
      </c>
      <c r="D4">
        <v>8</v>
      </c>
      <c r="E4">
        <v>4000</v>
      </c>
      <c r="F4">
        <v>2000</v>
      </c>
      <c r="G4">
        <v>1500</v>
      </c>
      <c r="H4">
        <f t="shared" si="0"/>
        <v>7500</v>
      </c>
      <c r="I4">
        <f>Table1[[#This Row],[Registration Fees]]*Table1[[#This Row],[Registration Estimated]]</f>
        <v>6000</v>
      </c>
      <c r="J4">
        <f>Table1[[#This Row],[Total Registration Amount]]-Table1[[#This Row],[Total Prize pool]]</f>
        <v>-1500</v>
      </c>
      <c r="K4">
        <v>5</v>
      </c>
      <c r="L4">
        <v>1</v>
      </c>
      <c r="M4">
        <f>Table1[[#This Row],[Total Team sized]]</f>
        <v>5</v>
      </c>
      <c r="N4">
        <f>Table1[[#This Row],[Total Team sized]]</f>
        <v>5</v>
      </c>
      <c r="O4">
        <f>Table1[[#This Row],[Total Team sized]]*3</f>
        <v>15</v>
      </c>
      <c r="P4">
        <v>1000</v>
      </c>
      <c r="Q4">
        <v>40</v>
      </c>
      <c r="R4">
        <v>40</v>
      </c>
    </row>
    <row r="5" spans="1:18" x14ac:dyDescent="0.3">
      <c r="A5">
        <v>4</v>
      </c>
      <c r="B5" t="s">
        <v>6</v>
      </c>
      <c r="C5">
        <v>100</v>
      </c>
      <c r="D5">
        <v>20</v>
      </c>
      <c r="E5">
        <v>1000</v>
      </c>
      <c r="F5">
        <v>500</v>
      </c>
      <c r="G5">
        <v>0</v>
      </c>
      <c r="H5">
        <f t="shared" si="0"/>
        <v>1500</v>
      </c>
      <c r="I5">
        <f>Table1[[#This Row],[Registration Fees]]*Table1[[#This Row],[Registration Estimated]]</f>
        <v>2000</v>
      </c>
      <c r="J5">
        <f>Table1[[#This Row],[Total Registration Amount]]-Table1[[#This Row],[Total Prize pool]]</f>
        <v>500</v>
      </c>
      <c r="K5">
        <v>1</v>
      </c>
      <c r="L5">
        <v>1</v>
      </c>
      <c r="M5">
        <f>Table1[[#This Row],[Total Team sized]]</f>
        <v>1</v>
      </c>
      <c r="N5">
        <f>Table1[[#This Row],[Total Team sized]]</f>
        <v>1</v>
      </c>
      <c r="O5">
        <f>Table1[[#This Row],[Total Team sized]]*3</f>
        <v>3</v>
      </c>
      <c r="P5">
        <v>1000</v>
      </c>
      <c r="Q5">
        <v>40</v>
      </c>
      <c r="R5">
        <v>40</v>
      </c>
    </row>
    <row r="6" spans="1:18" x14ac:dyDescent="0.3">
      <c r="A6">
        <v>5</v>
      </c>
      <c r="B6" t="s">
        <v>7</v>
      </c>
      <c r="C6">
        <v>100</v>
      </c>
      <c r="D6">
        <v>25</v>
      </c>
      <c r="E6">
        <v>1000</v>
      </c>
      <c r="F6">
        <v>500</v>
      </c>
      <c r="G6">
        <v>0</v>
      </c>
      <c r="H6">
        <f t="shared" si="0"/>
        <v>1500</v>
      </c>
      <c r="I6">
        <f>Table1[[#This Row],[Registration Fees]]*Table1[[#This Row],[Registration Estimated]]</f>
        <v>2500</v>
      </c>
      <c r="J6">
        <f>Table1[[#This Row],[Total Registration Amount]]-Table1[[#This Row],[Total Prize pool]]</f>
        <v>1000</v>
      </c>
      <c r="K6">
        <v>1</v>
      </c>
      <c r="L6">
        <v>1</v>
      </c>
      <c r="M6">
        <f>Table1[[#This Row],[Total Team sized]]</f>
        <v>1</v>
      </c>
      <c r="N6">
        <f>Table1[[#This Row],[Total Team sized]]</f>
        <v>1</v>
      </c>
      <c r="O6">
        <f>Table1[[#This Row],[Total Team sized]]*3</f>
        <v>3</v>
      </c>
      <c r="P6">
        <v>1000</v>
      </c>
      <c r="Q6">
        <v>40</v>
      </c>
      <c r="R6">
        <v>40</v>
      </c>
    </row>
    <row r="7" spans="1:18" x14ac:dyDescent="0.3">
      <c r="A7">
        <v>6</v>
      </c>
      <c r="B7" t="s">
        <v>8</v>
      </c>
      <c r="C7">
        <v>2000</v>
      </c>
      <c r="D7">
        <v>6</v>
      </c>
      <c r="E7">
        <v>10000</v>
      </c>
      <c r="F7">
        <v>5000</v>
      </c>
      <c r="G7">
        <v>0</v>
      </c>
      <c r="H7">
        <f t="shared" si="0"/>
        <v>15000</v>
      </c>
      <c r="I7">
        <f>Table1[[#This Row],[Registration Fees]]*Table1[[#This Row],[Registration Estimated]]</f>
        <v>12000</v>
      </c>
      <c r="J7">
        <f>Table1[[#This Row],[Total Registration Amount]]-Table1[[#This Row],[Total Prize pool]]</f>
        <v>-3000</v>
      </c>
      <c r="K7">
        <v>12</v>
      </c>
      <c r="L7">
        <v>1</v>
      </c>
      <c r="M7">
        <f>Table1[[#This Row],[Total Team sized]]</f>
        <v>12</v>
      </c>
      <c r="N7">
        <f>Table1[[#This Row],[Total Team sized]]</f>
        <v>12</v>
      </c>
      <c r="O7">
        <f>Table1[[#This Row],[Total Team sized]]*3</f>
        <v>36</v>
      </c>
      <c r="P7">
        <v>1000</v>
      </c>
      <c r="Q7">
        <v>40</v>
      </c>
      <c r="R7">
        <v>40</v>
      </c>
    </row>
    <row r="8" spans="1:18" x14ac:dyDescent="0.3">
      <c r="A8">
        <v>7</v>
      </c>
      <c r="B8" t="s">
        <v>9</v>
      </c>
      <c r="C8">
        <v>800</v>
      </c>
      <c r="D8">
        <v>10</v>
      </c>
      <c r="E8">
        <v>2500</v>
      </c>
      <c r="F8">
        <v>1500</v>
      </c>
      <c r="G8">
        <v>0</v>
      </c>
      <c r="H8">
        <f t="shared" si="0"/>
        <v>4000</v>
      </c>
      <c r="I8">
        <f>Table1[[#This Row],[Registration Fees]]*Table1[[#This Row],[Registration Estimated]]</f>
        <v>8000</v>
      </c>
      <c r="J8">
        <f>Table1[[#This Row],[Total Registration Amount]]-Table1[[#This Row],[Total Prize pool]]</f>
        <v>4000</v>
      </c>
      <c r="K8">
        <v>9</v>
      </c>
      <c r="L8">
        <v>1</v>
      </c>
      <c r="M8">
        <f>Table1[[#This Row],[Total Team sized]]</f>
        <v>9</v>
      </c>
      <c r="N8">
        <f>Table1[[#This Row],[Total Team sized]]</f>
        <v>9</v>
      </c>
      <c r="O8">
        <f>Table1[[#This Row],[Total Team sized]]*3</f>
        <v>27</v>
      </c>
      <c r="P8">
        <v>1000</v>
      </c>
      <c r="Q8">
        <v>40</v>
      </c>
      <c r="R8">
        <v>40</v>
      </c>
    </row>
    <row r="9" spans="1:18" x14ac:dyDescent="0.3">
      <c r="A9">
        <v>8</v>
      </c>
      <c r="B9" t="s">
        <v>10</v>
      </c>
      <c r="C9">
        <v>1000</v>
      </c>
      <c r="D9">
        <v>7</v>
      </c>
      <c r="E9">
        <v>2500</v>
      </c>
      <c r="F9">
        <v>1500</v>
      </c>
      <c r="G9">
        <v>0</v>
      </c>
      <c r="H9">
        <f t="shared" si="0"/>
        <v>4000</v>
      </c>
      <c r="I9">
        <f>Table1[[#This Row],[Registration Fees]]*Table1[[#This Row],[Registration Estimated]]</f>
        <v>7000</v>
      </c>
      <c r="J9">
        <f>Table1[[#This Row],[Total Registration Amount]]-Table1[[#This Row],[Total Prize pool]]</f>
        <v>3000</v>
      </c>
      <c r="K9">
        <v>8</v>
      </c>
      <c r="L9">
        <v>1</v>
      </c>
      <c r="M9">
        <f>Table1[[#This Row],[Total Team sized]]</f>
        <v>8</v>
      </c>
      <c r="N9">
        <f>Table1[[#This Row],[Total Team sized]]</f>
        <v>8</v>
      </c>
      <c r="O9">
        <f>Table1[[#This Row],[Total Team sized]]*3</f>
        <v>24</v>
      </c>
      <c r="P9">
        <v>1000</v>
      </c>
      <c r="Q9">
        <v>40</v>
      </c>
      <c r="R9">
        <v>40</v>
      </c>
    </row>
    <row r="10" spans="1:18" x14ac:dyDescent="0.3">
      <c r="A10">
        <v>9</v>
      </c>
      <c r="B10" t="s">
        <v>11</v>
      </c>
      <c r="C10">
        <v>1000</v>
      </c>
      <c r="D10">
        <v>10</v>
      </c>
      <c r="E10">
        <v>2500</v>
      </c>
      <c r="F10">
        <v>1500</v>
      </c>
      <c r="G10">
        <v>0</v>
      </c>
      <c r="H10">
        <f t="shared" si="0"/>
        <v>4000</v>
      </c>
      <c r="I10">
        <f>Table1[[#This Row],[Registration Fees]]*Table1[[#This Row],[Registration Estimated]]</f>
        <v>10000</v>
      </c>
      <c r="J10">
        <f>Table1[[#This Row],[Total Registration Amount]]-Table1[[#This Row],[Total Prize pool]]</f>
        <v>6000</v>
      </c>
      <c r="K10">
        <v>8</v>
      </c>
      <c r="L10">
        <v>1</v>
      </c>
      <c r="M10">
        <f>Table1[[#This Row],[Total Team sized]]</f>
        <v>8</v>
      </c>
      <c r="N10">
        <f>Table1[[#This Row],[Total Team sized]]</f>
        <v>8</v>
      </c>
      <c r="O10">
        <f>Table1[[#This Row],[Total Team sized]]*3</f>
        <v>24</v>
      </c>
      <c r="P10">
        <v>1000</v>
      </c>
      <c r="Q10">
        <v>40</v>
      </c>
      <c r="R10">
        <v>40</v>
      </c>
    </row>
    <row r="11" spans="1:18" x14ac:dyDescent="0.3">
      <c r="A11">
        <v>10</v>
      </c>
      <c r="B11" t="s">
        <v>12</v>
      </c>
      <c r="C11">
        <v>200</v>
      </c>
      <c r="D11">
        <v>25</v>
      </c>
      <c r="E11">
        <v>2000</v>
      </c>
      <c r="F11">
        <v>1500</v>
      </c>
      <c r="G11">
        <v>0</v>
      </c>
      <c r="H11">
        <f t="shared" si="0"/>
        <v>3500</v>
      </c>
      <c r="I11">
        <f>Table1[[#This Row],[Registration Fees]]*Table1[[#This Row],[Registration Estimated]]</f>
        <v>5000</v>
      </c>
      <c r="J11">
        <f>Table1[[#This Row],[Total Registration Amount]]-Table1[[#This Row],[Total Prize pool]]</f>
        <v>1500</v>
      </c>
      <c r="K11">
        <v>1</v>
      </c>
      <c r="L11">
        <v>1</v>
      </c>
      <c r="M11">
        <f>Table1[[#This Row],[Total Team sized]]</f>
        <v>1</v>
      </c>
      <c r="N11">
        <f>Table1[[#This Row],[Total Team sized]]</f>
        <v>1</v>
      </c>
      <c r="O11">
        <f>Table1[[#This Row],[Total Team sized]]*3</f>
        <v>3</v>
      </c>
      <c r="P11">
        <v>1000</v>
      </c>
      <c r="Q11">
        <v>40</v>
      </c>
      <c r="R11">
        <v>40</v>
      </c>
    </row>
    <row r="12" spans="1:18" x14ac:dyDescent="0.3">
      <c r="A12">
        <v>11</v>
      </c>
      <c r="B12" t="s">
        <v>13</v>
      </c>
      <c r="C12">
        <v>350</v>
      </c>
      <c r="D12">
        <v>25</v>
      </c>
      <c r="E12">
        <v>2000</v>
      </c>
      <c r="F12">
        <v>1500</v>
      </c>
      <c r="G12">
        <v>0</v>
      </c>
      <c r="H12">
        <f t="shared" si="0"/>
        <v>3500</v>
      </c>
      <c r="I12">
        <f>Table1[[#This Row],[Registration Fees]]*Table1[[#This Row],[Registration Estimated]]</f>
        <v>8750</v>
      </c>
      <c r="J12">
        <f>Table1[[#This Row],[Total Registration Amount]]-Table1[[#This Row],[Total Prize pool]]</f>
        <v>5250</v>
      </c>
      <c r="K12">
        <v>2</v>
      </c>
      <c r="L12">
        <v>1</v>
      </c>
      <c r="M12">
        <f>Table1[[#This Row],[Total Team sized]]</f>
        <v>2</v>
      </c>
      <c r="N12">
        <f>Table1[[#This Row],[Total Team sized]]</f>
        <v>2</v>
      </c>
      <c r="O12">
        <f>Table1[[#This Row],[Total Team sized]]*3</f>
        <v>6</v>
      </c>
      <c r="P12">
        <v>1000</v>
      </c>
      <c r="Q12">
        <v>40</v>
      </c>
      <c r="R12">
        <v>40</v>
      </c>
    </row>
    <row r="13" spans="1:18" x14ac:dyDescent="0.3">
      <c r="A13">
        <v>12</v>
      </c>
      <c r="B13" t="s">
        <v>14</v>
      </c>
      <c r="C13">
        <v>1000</v>
      </c>
      <c r="D13">
        <v>8</v>
      </c>
      <c r="E13">
        <v>3000</v>
      </c>
      <c r="F13">
        <v>1500</v>
      </c>
      <c r="G13">
        <v>500</v>
      </c>
      <c r="H13">
        <f t="shared" si="0"/>
        <v>5000</v>
      </c>
      <c r="I13">
        <f>Table1[[#This Row],[Registration Fees]]*Table1[[#This Row],[Registration Estimated]]</f>
        <v>8000</v>
      </c>
      <c r="J13">
        <f>Table1[[#This Row],[Total Registration Amount]]-Table1[[#This Row],[Total Prize pool]]</f>
        <v>3000</v>
      </c>
      <c r="K13">
        <v>15</v>
      </c>
      <c r="L13">
        <v>1</v>
      </c>
      <c r="M13">
        <f>Table1[[#This Row],[Total Team sized]]</f>
        <v>15</v>
      </c>
      <c r="N13">
        <f>Table1[[#This Row],[Total Team sized]]</f>
        <v>15</v>
      </c>
      <c r="O13">
        <f>Table1[[#This Row],[Total Team sized]]*3</f>
        <v>45</v>
      </c>
      <c r="P13">
        <v>1000</v>
      </c>
      <c r="Q13">
        <v>40</v>
      </c>
      <c r="R13">
        <v>40</v>
      </c>
    </row>
    <row r="14" spans="1:18" x14ac:dyDescent="0.3">
      <c r="A14">
        <v>13</v>
      </c>
      <c r="B14" t="s">
        <v>15</v>
      </c>
      <c r="C14">
        <v>800</v>
      </c>
      <c r="D14">
        <v>7</v>
      </c>
      <c r="E14">
        <v>1300</v>
      </c>
      <c r="F14">
        <v>0</v>
      </c>
      <c r="G14">
        <v>0</v>
      </c>
      <c r="H14">
        <f t="shared" si="0"/>
        <v>1300</v>
      </c>
      <c r="I14">
        <f>Table1[[#This Row],[Registration Fees]]*Table1[[#This Row],[Registration Estimated]]</f>
        <v>5600</v>
      </c>
      <c r="J14">
        <f>Table1[[#This Row],[Total Registration Amount]]-Table1[[#This Row],[Total Prize pool]]</f>
        <v>4300</v>
      </c>
      <c r="K14">
        <v>12</v>
      </c>
      <c r="L14">
        <v>1</v>
      </c>
      <c r="M14">
        <f>Table1[[#This Row],[Total Team sized]]</f>
        <v>12</v>
      </c>
      <c r="N14">
        <f>Table1[[#This Row],[Total Team sized]]</f>
        <v>12</v>
      </c>
      <c r="O14">
        <f>Table1[[#This Row],[Total Team sized]]*3</f>
        <v>36</v>
      </c>
      <c r="P14">
        <v>1000</v>
      </c>
      <c r="Q14" t="s">
        <v>32</v>
      </c>
      <c r="R14">
        <v>40</v>
      </c>
    </row>
    <row r="15" spans="1:18" x14ac:dyDescent="0.3">
      <c r="B15" t="s">
        <v>21</v>
      </c>
      <c r="E15">
        <f>SUM(Table1[First Prize])</f>
        <v>39800</v>
      </c>
      <c r="F15">
        <f>SUM(Table1[Second Prize])</f>
        <v>22000</v>
      </c>
      <c r="G15">
        <f>SUM(Table1[Third Prize])</f>
        <v>5500</v>
      </c>
      <c r="H15">
        <f>SUM(Table1[Total Prize pool])</f>
        <v>67300</v>
      </c>
      <c r="I15">
        <f>SUBTOTAL(109,Table1[Total Registration Amount])</f>
        <v>92350</v>
      </c>
      <c r="J15">
        <f>SUBTOTAL(109,Table1[Balance amount (Total Registration - Total Price pool)])</f>
        <v>25050</v>
      </c>
      <c r="L15">
        <f>SUM(Table1[No. of trophies])</f>
        <v>13</v>
      </c>
      <c r="M15">
        <f>SUM(Table1[No. of medals (Silver)])</f>
        <v>82</v>
      </c>
      <c r="N15">
        <f>SUM(Table1[No. of medals (Bronze)])</f>
        <v>82</v>
      </c>
      <c r="O15">
        <f>SUM(Table1[Total No. of certifications required])</f>
        <v>246</v>
      </c>
      <c r="P15">
        <f>SUBTOTAL(109,Table1[Trophy Price])</f>
        <v>13000</v>
      </c>
      <c r="Q15">
        <f>SUBTOTAL(109,Table1[Silver medal price])</f>
        <v>480</v>
      </c>
      <c r="R15">
        <f>SUBTOTAL(109,Table1[Bronze medal price])</f>
        <v>520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Musale</dc:creator>
  <cp:lastModifiedBy>Kaushik Musale</cp:lastModifiedBy>
  <dcterms:created xsi:type="dcterms:W3CDTF">2025-11-26T15:29:17Z</dcterms:created>
  <dcterms:modified xsi:type="dcterms:W3CDTF">2025-11-28T03:38:59Z</dcterms:modified>
</cp:coreProperties>
</file>