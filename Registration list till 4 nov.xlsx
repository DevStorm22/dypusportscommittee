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YPU Sports Committee\dypusportscommittee\"/>
    </mc:Choice>
  </mc:AlternateContent>
  <xr:revisionPtr revIDLastSave="0" documentId="13_ncr:1_{E8658555-07D9-4CF8-9A6B-0750C7A4C1B3}" xr6:coauthVersionLast="47" xr6:coauthVersionMax="47" xr10:uidLastSave="{00000000-0000-0000-0000-000000000000}"/>
  <bookViews>
    <workbookView xWindow="-108" yWindow="-108" windowWidth="23256" windowHeight="13176" activeTab="4" xr2:uid="{B784C5FB-534E-4FF5-8A1E-3B229C06DE26}"/>
  </bookViews>
  <sheets>
    <sheet name="Cricket" sheetId="1" r:id="rId1"/>
    <sheet name="Football" sheetId="2" r:id="rId2"/>
    <sheet name="BGMI" sheetId="3" r:id="rId3"/>
    <sheet name="Valorant" sheetId="4" r:id="rId4"/>
    <sheet name="All Gam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5" l="1"/>
  <c r="C6" i="5"/>
  <c r="C5" i="5"/>
  <c r="C3" i="5"/>
  <c r="C4" i="5"/>
  <c r="C12" i="4"/>
  <c r="C27" i="3"/>
  <c r="C18" i="2"/>
  <c r="C21" i="1"/>
</calcChain>
</file>

<file path=xl/sharedStrings.xml><?xml version="1.0" encoding="utf-8"?>
<sst xmlns="http://schemas.openxmlformats.org/spreadsheetml/2006/main" count="225" uniqueCount="93">
  <si>
    <t>Name</t>
  </si>
  <si>
    <t>Course</t>
  </si>
  <si>
    <t>Payment</t>
  </si>
  <si>
    <t>Mode</t>
  </si>
  <si>
    <t>Vignesh Nikate</t>
  </si>
  <si>
    <t>MCA E</t>
  </si>
  <si>
    <t>UPI</t>
  </si>
  <si>
    <t>Sagar Chaudhary</t>
  </si>
  <si>
    <t>MCA D</t>
  </si>
  <si>
    <t>Sundar Vaidya</t>
  </si>
  <si>
    <t>MCA F</t>
  </si>
  <si>
    <t>Samanyay Bose</t>
  </si>
  <si>
    <t>BCA A</t>
  </si>
  <si>
    <t>Ali Ahmad Zaid</t>
  </si>
  <si>
    <t>Omkar kadam</t>
  </si>
  <si>
    <t>MCA C</t>
  </si>
  <si>
    <t>Mrudul Rane</t>
  </si>
  <si>
    <t>Sumit Parkhe</t>
  </si>
  <si>
    <t>Cash</t>
  </si>
  <si>
    <t>Abdula Sheikh</t>
  </si>
  <si>
    <t>MCA A</t>
  </si>
  <si>
    <t>Yash Monde</t>
  </si>
  <si>
    <t>Virti Nandu</t>
  </si>
  <si>
    <t>Sakshi Lonare</t>
  </si>
  <si>
    <t>Purva hande</t>
  </si>
  <si>
    <t>BA B</t>
  </si>
  <si>
    <t>Aryan Keni</t>
  </si>
  <si>
    <t>Manav Bothe</t>
  </si>
  <si>
    <t xml:space="preserve">Aryan Keni </t>
  </si>
  <si>
    <t>Kush Modha</t>
  </si>
  <si>
    <t>MCA B</t>
  </si>
  <si>
    <t>Mayank Chaurasia</t>
  </si>
  <si>
    <t xml:space="preserve">BA B </t>
  </si>
  <si>
    <t xml:space="preserve">sant kaur malhotra </t>
  </si>
  <si>
    <t>BA C</t>
  </si>
  <si>
    <t>saima mansuri</t>
  </si>
  <si>
    <t>samanyay Bose</t>
  </si>
  <si>
    <t>welkyn coutinho</t>
  </si>
  <si>
    <t>BCA B</t>
  </si>
  <si>
    <t>Afsha salim Hafiz</t>
  </si>
  <si>
    <t>Pratap Arolkar</t>
  </si>
  <si>
    <t>Faizan Gandhi</t>
  </si>
  <si>
    <t>Tushar poojari</t>
  </si>
  <si>
    <t>Niddhi thakkar</t>
  </si>
  <si>
    <t>MA A</t>
  </si>
  <si>
    <t>Atharva Mahale</t>
  </si>
  <si>
    <t>Siddharth Shyam Kanim</t>
  </si>
  <si>
    <t>Ali Ahmad Zaidi</t>
  </si>
  <si>
    <t>Atharva Sawant</t>
  </si>
  <si>
    <t>Pranav Turkane</t>
  </si>
  <si>
    <t>vedika</t>
  </si>
  <si>
    <t>BA A</t>
  </si>
  <si>
    <t>Shriyash</t>
  </si>
  <si>
    <t>Gaurav Savaratkar</t>
  </si>
  <si>
    <t>Rehan Qureshi</t>
  </si>
  <si>
    <t>Aditiya pandey</t>
  </si>
  <si>
    <t>Aarushi Neb</t>
  </si>
  <si>
    <t>soham tembulkar</t>
  </si>
  <si>
    <t>Harshad mahajan</t>
  </si>
  <si>
    <t>ved patil</t>
  </si>
  <si>
    <t>Niddhi Thakkar</t>
  </si>
  <si>
    <t>Rishi Pandey</t>
  </si>
  <si>
    <t>Vignesh mithbavkar</t>
  </si>
  <si>
    <t>Ritesh Chakravarti</t>
  </si>
  <si>
    <t>BCA D</t>
  </si>
  <si>
    <t xml:space="preserve">Akshay prafull Manore </t>
  </si>
  <si>
    <t xml:space="preserve">Sahil Desai </t>
  </si>
  <si>
    <t>Jatan vashi</t>
  </si>
  <si>
    <t>Vishal Aher</t>
  </si>
  <si>
    <t>Sanket Hake</t>
  </si>
  <si>
    <t>Mrunal Shinde</t>
  </si>
  <si>
    <t xml:space="preserve">Prathmesh Sutar </t>
  </si>
  <si>
    <t>Mohamed noah mohamed shehbaz khot</t>
  </si>
  <si>
    <t>meet samwadkar</t>
  </si>
  <si>
    <t xml:space="preserve">Priyanshi Jakhaaria </t>
  </si>
  <si>
    <t>Nidhi Thakkar</t>
  </si>
  <si>
    <t>Abhishekh Pandey</t>
  </si>
  <si>
    <t>Shiddharth Khosla</t>
  </si>
  <si>
    <t>Tanveer Khan</t>
  </si>
  <si>
    <t xml:space="preserve">Trisha Milind Patil </t>
  </si>
  <si>
    <t>Shaunak Jadhav</t>
  </si>
  <si>
    <t>Krish Gupta (BBA)</t>
  </si>
  <si>
    <t xml:space="preserve">Arnav Akhil Rupji </t>
  </si>
  <si>
    <t>Akul Tomar</t>
  </si>
  <si>
    <t>BBA</t>
  </si>
  <si>
    <t>UPI + Cash</t>
  </si>
  <si>
    <t>Total</t>
  </si>
  <si>
    <t>Game</t>
  </si>
  <si>
    <t>Total Registration amount</t>
  </si>
  <si>
    <t>Cricket</t>
  </si>
  <si>
    <t>Football</t>
  </si>
  <si>
    <t>BGMI</t>
  </si>
  <si>
    <t>Valorant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</si>
</sst>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434343"/>
      <name val="Arial"/>
      <family val="2"/>
    </font>
    <font>
      <sz val="10"/>
      <color theme="1"/>
      <name val="Arial"/>
      <family val="2"/>
    </font>
    <font>
      <sz val="10"/>
      <color theme="1" tint="4.9989318521683403E-2"/>
      <name val="Arial"/>
      <family val="2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1" xfId="0" applyBorder="1"/>
    <xf numFmtId="0" fontId="4" fillId="2" borderId="1" xfId="0" applyFont="1" applyFill="1" applyBorder="1" applyAlignment="1">
      <alignment vertical="center" wrapText="1"/>
    </xf>
    <xf numFmtId="0" fontId="2" fillId="0" borderId="0" xfId="0" applyFont="1"/>
    <xf numFmtId="0" fontId="2" fillId="0" borderId="1" xfId="0" applyFont="1" applyBorder="1"/>
    <xf numFmtId="0" fontId="4" fillId="0" borderId="1" xfId="0" applyFont="1" applyFill="1" applyBorder="1" applyAlignment="1">
      <alignment vertical="center" wrapText="1"/>
    </xf>
    <xf numFmtId="0" fontId="0" fillId="0" borderId="1" xfId="0" applyFont="1" applyBorder="1"/>
  </cellXfs>
  <cellStyles count="1">
    <cellStyle name="Normal" xfId="0" builtinId="0"/>
  </cellStyles>
  <dxfs count="7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color theme="1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34343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B57BC-9FDE-4251-9932-1C49163250DA}" name="Table1" displayName="Table1" ref="A1:D19" totalsRowShown="0">
  <autoFilter ref="A1:D19" xr:uid="{0B9B57BC-9FDE-4251-9932-1C49163250DA}"/>
  <tableColumns count="4">
    <tableColumn id="1" xr3:uid="{48F2E2B7-FC60-4D1C-9399-2CDF2D9B2BFC}" name="Name" dataDxfId="3"/>
    <tableColumn id="2" xr3:uid="{C0083B03-192E-4C51-B3E5-6FA884241481}" name="Course" dataDxfId="2"/>
    <tableColumn id="3" xr3:uid="{F8E03E2E-EACA-42AC-82E1-B3A228E18D95}" name="Payment" dataDxfId="1"/>
    <tableColumn id="4" xr3:uid="{9602FABA-6558-4608-8DC3-346377C2B93E}" name="Mode" data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01C194-DC57-483E-BDFD-A58C3B407816}" name="Table2" displayName="Table2" ref="A1:D16" totalsRowShown="0">
  <autoFilter ref="A1:D16" xr:uid="{3201C194-DC57-483E-BDFD-A58C3B407816}"/>
  <tableColumns count="4">
    <tableColumn id="1" xr3:uid="{DC9BD4A4-6835-4E2A-B0CC-E60775C078B6}" name="Name" dataDxfId="6"/>
    <tableColumn id="2" xr3:uid="{91FBDB15-6C15-4286-B70C-C43CE063CD0B}" name="Course"/>
    <tableColumn id="3" xr3:uid="{4E136A08-EC4B-4321-BD71-10B75640FB93}" name="Payment"/>
    <tableColumn id="4" xr3:uid="{D6533733-D192-4E2C-9F7D-E28507DED2A4}" name="Mod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504B386-A003-4888-9A26-A4972F488DF1}" name="Table3" displayName="Table3" ref="A1:D25" totalsRowShown="0">
  <autoFilter ref="A1:D25" xr:uid="{C504B386-A003-4888-9A26-A4972F488DF1}"/>
  <tableColumns count="4">
    <tableColumn id="1" xr3:uid="{91BCF65C-84CB-43AB-BF7F-E53CF7D9A6D1}" name="Name" dataDxfId="5"/>
    <tableColumn id="2" xr3:uid="{A19C7122-EEC6-4982-960D-FD5E1E6C7C1D}" name="Course"/>
    <tableColumn id="3" xr3:uid="{D34B931B-8B4E-424E-BBAC-E2F9D4BB35DD}" name="Payment"/>
    <tableColumn id="4" xr3:uid="{2F5A9087-7170-4146-8ACC-7C643CE5D09C}" name="Mod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C674854-7431-4CF4-86AA-594BC7B67C65}" name="Table4" displayName="Table4" ref="A1:D10" totalsRowShown="0">
  <autoFilter ref="A1:D10" xr:uid="{DC674854-7431-4CF4-86AA-594BC7B67C65}"/>
  <tableColumns count="4">
    <tableColumn id="1" xr3:uid="{6DB82251-C9DF-4C11-B3B3-7EED9628ED28}" name="Name" dataDxfId="4"/>
    <tableColumn id="2" xr3:uid="{B24496F3-F8EF-47D5-BA6C-8DEFF8ABE1BC}" name="Course"/>
    <tableColumn id="3" xr3:uid="{45E7BFCF-EB10-4593-9D97-F09EF09896CF}" name="Payment"/>
    <tableColumn id="4" xr3:uid="{4E04E494-3A39-44D9-82B0-AF49AEC0A27D}" name="Mod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239282-042E-4023-A59A-1495EB928C71}" name="Table5" displayName="Table5" ref="B2:C7" totalsRowShown="0">
  <autoFilter ref="B2:C7" xr:uid="{3D239282-042E-4023-A59A-1495EB928C71}"/>
  <tableColumns count="2">
    <tableColumn id="1" xr3:uid="{56D440E9-272E-476C-852B-B22B7A2FDA45}" name="Game"/>
    <tableColumn id="2" xr3:uid="{85AB5532-0109-4B71-9289-39AC8617D672}" name="Total Registration amoun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3D827-78CE-4653-8D4B-C10AB394EBFC}">
  <dimension ref="A1:D21"/>
  <sheetViews>
    <sheetView workbookViewId="0">
      <selection activeCell="E21" sqref="E21"/>
    </sheetView>
  </sheetViews>
  <sheetFormatPr defaultRowHeight="14.4" x14ac:dyDescent="0.3"/>
  <cols>
    <col min="1" max="1" width="14.6640625" bestFit="1" customWidth="1"/>
    <col min="2" max="2" width="9" bestFit="1" customWidth="1"/>
    <col min="3" max="3" width="14.21875" bestFit="1" customWidth="1"/>
    <col min="4" max="4" width="9.66406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s="3" t="s">
        <v>4</v>
      </c>
      <c r="B2" s="3" t="s">
        <v>5</v>
      </c>
      <c r="C2" s="3">
        <v>550</v>
      </c>
      <c r="D2" s="3" t="s">
        <v>6</v>
      </c>
    </row>
    <row r="3" spans="1:4" x14ac:dyDescent="0.3">
      <c r="A3" s="3" t="s">
        <v>7</v>
      </c>
      <c r="B3" s="3" t="s">
        <v>8</v>
      </c>
      <c r="C3" s="3">
        <v>550</v>
      </c>
      <c r="D3" s="3" t="s">
        <v>6</v>
      </c>
    </row>
    <row r="4" spans="1:4" x14ac:dyDescent="0.3">
      <c r="A4" s="3" t="s">
        <v>9</v>
      </c>
      <c r="B4" s="3" t="s">
        <v>10</v>
      </c>
      <c r="C4" s="3">
        <v>550</v>
      </c>
      <c r="D4" s="3" t="s">
        <v>6</v>
      </c>
    </row>
    <row r="5" spans="1:4" x14ac:dyDescent="0.3">
      <c r="A5" s="3" t="s">
        <v>11</v>
      </c>
      <c r="B5" s="3" t="s">
        <v>12</v>
      </c>
      <c r="C5" s="3">
        <v>550</v>
      </c>
      <c r="D5" s="3" t="s">
        <v>6</v>
      </c>
    </row>
    <row r="6" spans="1:4" x14ac:dyDescent="0.3">
      <c r="A6" s="3" t="s">
        <v>13</v>
      </c>
      <c r="B6" s="3" t="s">
        <v>12</v>
      </c>
      <c r="C6" s="3">
        <v>550</v>
      </c>
      <c r="D6" s="3" t="s">
        <v>6</v>
      </c>
    </row>
    <row r="7" spans="1:4" x14ac:dyDescent="0.3">
      <c r="A7" s="3" t="s">
        <v>14</v>
      </c>
      <c r="B7" s="3" t="s">
        <v>15</v>
      </c>
      <c r="C7" s="3">
        <v>550</v>
      </c>
      <c r="D7" s="3" t="s">
        <v>6</v>
      </c>
    </row>
    <row r="8" spans="1:4" x14ac:dyDescent="0.3">
      <c r="A8" s="3" t="s">
        <v>16</v>
      </c>
      <c r="B8" s="3" t="s">
        <v>15</v>
      </c>
      <c r="C8" s="3">
        <v>550</v>
      </c>
      <c r="D8" s="3" t="s">
        <v>6</v>
      </c>
    </row>
    <row r="9" spans="1:4" x14ac:dyDescent="0.3">
      <c r="A9" s="3" t="s">
        <v>17</v>
      </c>
      <c r="B9" s="3" t="s">
        <v>5</v>
      </c>
      <c r="C9" s="3">
        <v>550</v>
      </c>
      <c r="D9" s="3" t="s">
        <v>85</v>
      </c>
    </row>
    <row r="10" spans="1:4" x14ac:dyDescent="0.3">
      <c r="A10" s="3" t="s">
        <v>19</v>
      </c>
      <c r="B10" s="3" t="s">
        <v>20</v>
      </c>
      <c r="C10" s="3">
        <v>550</v>
      </c>
      <c r="D10" s="3" t="s">
        <v>6</v>
      </c>
    </row>
    <row r="11" spans="1:4" x14ac:dyDescent="0.3">
      <c r="A11" s="3" t="s">
        <v>21</v>
      </c>
      <c r="B11" s="3" t="s">
        <v>10</v>
      </c>
      <c r="C11" s="3">
        <v>550</v>
      </c>
      <c r="D11" s="3" t="s">
        <v>6</v>
      </c>
    </row>
    <row r="12" spans="1:4" x14ac:dyDescent="0.3">
      <c r="A12" s="3" t="s">
        <v>22</v>
      </c>
      <c r="B12" s="3" t="s">
        <v>5</v>
      </c>
      <c r="C12" s="3">
        <v>550</v>
      </c>
      <c r="D12" s="3" t="s">
        <v>6</v>
      </c>
    </row>
    <row r="13" spans="1:4" x14ac:dyDescent="0.3">
      <c r="A13" s="3" t="s">
        <v>23</v>
      </c>
      <c r="B13" s="3" t="s">
        <v>8</v>
      </c>
      <c r="C13" s="3">
        <v>550</v>
      </c>
      <c r="D13" s="3" t="s">
        <v>6</v>
      </c>
    </row>
    <row r="14" spans="1:4" x14ac:dyDescent="0.3">
      <c r="A14" s="3" t="s">
        <v>24</v>
      </c>
      <c r="B14" s="3" t="s">
        <v>25</v>
      </c>
      <c r="C14" s="3">
        <v>320</v>
      </c>
      <c r="D14" s="3" t="s">
        <v>18</v>
      </c>
    </row>
    <row r="15" spans="1:4" x14ac:dyDescent="0.3">
      <c r="A15" s="3" t="s">
        <v>26</v>
      </c>
      <c r="B15" s="3" t="s">
        <v>20</v>
      </c>
      <c r="C15" s="3">
        <v>550</v>
      </c>
      <c r="D15" s="3" t="s">
        <v>6</v>
      </c>
    </row>
    <row r="16" spans="1:4" x14ac:dyDescent="0.3">
      <c r="A16" s="3" t="s">
        <v>75</v>
      </c>
      <c r="B16" s="3" t="s">
        <v>44</v>
      </c>
      <c r="C16" s="3">
        <v>550</v>
      </c>
      <c r="D16" s="3" t="s">
        <v>18</v>
      </c>
    </row>
    <row r="17" spans="1:4" x14ac:dyDescent="0.3">
      <c r="A17" s="6" t="s">
        <v>80</v>
      </c>
      <c r="B17" s="3" t="s">
        <v>12</v>
      </c>
      <c r="C17" s="3">
        <v>110</v>
      </c>
      <c r="D17" s="3" t="s">
        <v>6</v>
      </c>
    </row>
    <row r="18" spans="1:4" x14ac:dyDescent="0.3">
      <c r="A18" s="6" t="s">
        <v>82</v>
      </c>
      <c r="B18" s="4" t="s">
        <v>12</v>
      </c>
      <c r="C18" s="3">
        <v>110</v>
      </c>
      <c r="D18" s="3" t="s">
        <v>6</v>
      </c>
    </row>
    <row r="19" spans="1:4" x14ac:dyDescent="0.3">
      <c r="A19" s="6" t="s">
        <v>83</v>
      </c>
      <c r="B19" s="7" t="s">
        <v>38</v>
      </c>
      <c r="C19" s="3">
        <v>110</v>
      </c>
      <c r="D19" s="3" t="s">
        <v>6</v>
      </c>
    </row>
    <row r="21" spans="1:4" x14ac:dyDescent="0.3">
      <c r="B21" s="8" t="s">
        <v>86</v>
      </c>
      <c r="C21" s="3">
        <f>SUM(Table1[Payment])</f>
        <v>8350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23B1-C27C-4B8B-9218-FB3F8CACF8BD}">
  <dimension ref="A1:J18"/>
  <sheetViews>
    <sheetView workbookViewId="0">
      <selection activeCell="D23" sqref="D23"/>
    </sheetView>
  </sheetViews>
  <sheetFormatPr defaultRowHeight="14.4" x14ac:dyDescent="0.3"/>
  <cols>
    <col min="1" max="1" width="18" bestFit="1" customWidth="1"/>
    <col min="2" max="2" width="9" bestFit="1" customWidth="1"/>
    <col min="3" max="3" width="10.77734375" bestFit="1" customWidth="1"/>
    <col min="4" max="4" width="8.21875" bestFit="1" customWidth="1"/>
    <col min="9" max="9" width="8.88671875" customWidth="1"/>
    <col min="10" max="10" width="10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</row>
    <row r="2" spans="1:10" x14ac:dyDescent="0.3">
      <c r="A2" s="1" t="s">
        <v>74</v>
      </c>
      <c r="B2" t="s">
        <v>25</v>
      </c>
      <c r="C2">
        <v>50</v>
      </c>
      <c r="D2" t="s">
        <v>6</v>
      </c>
    </row>
    <row r="3" spans="1:10" x14ac:dyDescent="0.3">
      <c r="A3" s="1" t="s">
        <v>27</v>
      </c>
      <c r="B3" t="s">
        <v>12</v>
      </c>
      <c r="C3">
        <v>350</v>
      </c>
      <c r="D3" t="s">
        <v>6</v>
      </c>
    </row>
    <row r="4" spans="1:10" x14ac:dyDescent="0.3">
      <c r="A4" s="1" t="s">
        <v>28</v>
      </c>
      <c r="B4" t="s">
        <v>20</v>
      </c>
      <c r="C4">
        <v>350</v>
      </c>
      <c r="D4" t="s">
        <v>6</v>
      </c>
    </row>
    <row r="5" spans="1:10" x14ac:dyDescent="0.3">
      <c r="A5" s="1" t="s">
        <v>29</v>
      </c>
      <c r="B5" t="s">
        <v>30</v>
      </c>
      <c r="C5">
        <v>300</v>
      </c>
      <c r="D5" t="s">
        <v>6</v>
      </c>
    </row>
    <row r="6" spans="1:10" x14ac:dyDescent="0.3">
      <c r="A6" s="1" t="s">
        <v>31</v>
      </c>
      <c r="B6" t="s">
        <v>32</v>
      </c>
      <c r="C6">
        <v>350</v>
      </c>
      <c r="D6" t="s">
        <v>6</v>
      </c>
    </row>
    <row r="7" spans="1:10" x14ac:dyDescent="0.3">
      <c r="A7" s="1" t="s">
        <v>33</v>
      </c>
      <c r="B7" t="s">
        <v>34</v>
      </c>
      <c r="C7">
        <v>50</v>
      </c>
      <c r="D7" t="s">
        <v>6</v>
      </c>
    </row>
    <row r="8" spans="1:10" x14ac:dyDescent="0.3">
      <c r="A8" s="1" t="s">
        <v>35</v>
      </c>
      <c r="B8" t="s">
        <v>25</v>
      </c>
      <c r="C8">
        <v>350</v>
      </c>
      <c r="D8" t="s">
        <v>6</v>
      </c>
    </row>
    <row r="9" spans="1:10" x14ac:dyDescent="0.3">
      <c r="A9" s="1" t="s">
        <v>36</v>
      </c>
      <c r="B9" t="s">
        <v>12</v>
      </c>
      <c r="C9">
        <v>50</v>
      </c>
      <c r="D9" t="s">
        <v>6</v>
      </c>
    </row>
    <row r="10" spans="1:10" x14ac:dyDescent="0.3">
      <c r="A10" s="1" t="s">
        <v>37</v>
      </c>
      <c r="B10" t="s">
        <v>38</v>
      </c>
      <c r="C10">
        <v>50</v>
      </c>
      <c r="D10" t="s">
        <v>18</v>
      </c>
    </row>
    <row r="11" spans="1:10" x14ac:dyDescent="0.3">
      <c r="A11" s="1" t="s">
        <v>39</v>
      </c>
      <c r="B11" t="s">
        <v>34</v>
      </c>
      <c r="C11">
        <v>50</v>
      </c>
      <c r="D11" t="s">
        <v>6</v>
      </c>
      <c r="J11" s="2"/>
    </row>
    <row r="12" spans="1:10" x14ac:dyDescent="0.3">
      <c r="A12" s="1" t="s">
        <v>40</v>
      </c>
      <c r="B12" t="s">
        <v>15</v>
      </c>
      <c r="C12">
        <v>350</v>
      </c>
      <c r="D12" t="s">
        <v>6</v>
      </c>
    </row>
    <row r="13" spans="1:10" x14ac:dyDescent="0.3">
      <c r="A13" s="2" t="s">
        <v>41</v>
      </c>
      <c r="B13" t="s">
        <v>10</v>
      </c>
      <c r="C13">
        <v>50</v>
      </c>
      <c r="D13" t="s">
        <v>6</v>
      </c>
    </row>
    <row r="14" spans="1:10" x14ac:dyDescent="0.3">
      <c r="A14" s="1" t="s">
        <v>42</v>
      </c>
      <c r="B14" t="s">
        <v>5</v>
      </c>
      <c r="C14">
        <v>50</v>
      </c>
      <c r="D14" t="s">
        <v>6</v>
      </c>
    </row>
    <row r="15" spans="1:10" x14ac:dyDescent="0.3">
      <c r="A15" s="1" t="s">
        <v>43</v>
      </c>
      <c r="B15" t="s">
        <v>44</v>
      </c>
      <c r="C15">
        <v>350</v>
      </c>
      <c r="D15" t="s">
        <v>18</v>
      </c>
    </row>
    <row r="16" spans="1:10" x14ac:dyDescent="0.3">
      <c r="A16" s="1" t="s">
        <v>45</v>
      </c>
      <c r="B16" t="s">
        <v>12</v>
      </c>
      <c r="C16">
        <v>50</v>
      </c>
      <c r="D16" t="s">
        <v>6</v>
      </c>
    </row>
    <row r="18" spans="2:3" x14ac:dyDescent="0.3">
      <c r="B18" s="3" t="s">
        <v>86</v>
      </c>
      <c r="C18" s="3">
        <f>SUM(Table2[Payment])</f>
        <v>2800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D3714-DC80-4C4E-9F61-5ADFBB4FB644}">
  <dimension ref="A1:G27"/>
  <sheetViews>
    <sheetView workbookViewId="0">
      <selection activeCell="G20" sqref="G20"/>
    </sheetView>
  </sheetViews>
  <sheetFormatPr defaultRowHeight="14.4" x14ac:dyDescent="0.3"/>
  <cols>
    <col min="1" max="1" width="20.88671875" bestFit="1" customWidth="1"/>
    <col min="2" max="2" width="9" bestFit="1" customWidth="1"/>
    <col min="3" max="3" width="10.77734375" bestFit="1" customWidth="1"/>
    <col min="4" max="4" width="8.2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</row>
    <row r="2" spans="1:7" x14ac:dyDescent="0.3">
      <c r="A2" s="1" t="s">
        <v>46</v>
      </c>
      <c r="B2" t="s">
        <v>8</v>
      </c>
      <c r="C2">
        <v>100</v>
      </c>
      <c r="D2" t="s">
        <v>6</v>
      </c>
      <c r="G2" s="1"/>
    </row>
    <row r="3" spans="1:7" x14ac:dyDescent="0.3">
      <c r="A3" s="1" t="s">
        <v>47</v>
      </c>
      <c r="B3" t="s">
        <v>12</v>
      </c>
      <c r="C3">
        <v>200</v>
      </c>
      <c r="D3" t="s">
        <v>6</v>
      </c>
      <c r="G3" s="1"/>
    </row>
    <row r="4" spans="1:7" x14ac:dyDescent="0.3">
      <c r="A4" s="1" t="s">
        <v>48</v>
      </c>
      <c r="B4" t="s">
        <v>12</v>
      </c>
      <c r="C4">
        <v>100</v>
      </c>
      <c r="D4" t="s">
        <v>6</v>
      </c>
      <c r="G4" s="1"/>
    </row>
    <row r="5" spans="1:7" x14ac:dyDescent="0.3">
      <c r="A5" s="1" t="s">
        <v>49</v>
      </c>
      <c r="B5" t="s">
        <v>15</v>
      </c>
      <c r="C5">
        <v>200</v>
      </c>
      <c r="D5" t="s">
        <v>18</v>
      </c>
      <c r="G5" s="1"/>
    </row>
    <row r="6" spans="1:7" x14ac:dyDescent="0.3">
      <c r="A6" s="1" t="s">
        <v>50</v>
      </c>
      <c r="B6" t="s">
        <v>51</v>
      </c>
      <c r="C6">
        <v>50</v>
      </c>
      <c r="D6" t="s">
        <v>6</v>
      </c>
      <c r="G6" s="1"/>
    </row>
    <row r="7" spans="1:7" x14ac:dyDescent="0.3">
      <c r="A7" s="1" t="s">
        <v>52</v>
      </c>
      <c r="B7" t="s">
        <v>8</v>
      </c>
      <c r="C7">
        <v>200</v>
      </c>
      <c r="D7" t="s">
        <v>6</v>
      </c>
      <c r="G7" s="5"/>
    </row>
    <row r="8" spans="1:7" x14ac:dyDescent="0.3">
      <c r="A8" s="1" t="s">
        <v>53</v>
      </c>
      <c r="B8" t="s">
        <v>30</v>
      </c>
      <c r="C8">
        <v>150</v>
      </c>
      <c r="D8" t="s">
        <v>6</v>
      </c>
      <c r="G8" s="1"/>
    </row>
    <row r="9" spans="1:7" x14ac:dyDescent="0.3">
      <c r="A9" s="1" t="s">
        <v>54</v>
      </c>
      <c r="B9" t="s">
        <v>12</v>
      </c>
      <c r="C9">
        <v>50</v>
      </c>
      <c r="D9" t="s">
        <v>18</v>
      </c>
      <c r="G9" s="1"/>
    </row>
    <row r="10" spans="1:7" x14ac:dyDescent="0.3">
      <c r="A10" s="1" t="s">
        <v>55</v>
      </c>
      <c r="B10" t="s">
        <v>51</v>
      </c>
      <c r="C10">
        <v>50</v>
      </c>
      <c r="D10" t="s">
        <v>6</v>
      </c>
      <c r="G10" s="1"/>
    </row>
    <row r="11" spans="1:7" x14ac:dyDescent="0.3">
      <c r="A11" s="1" t="s">
        <v>56</v>
      </c>
      <c r="B11" t="s">
        <v>51</v>
      </c>
      <c r="C11">
        <v>50</v>
      </c>
      <c r="D11" t="s">
        <v>6</v>
      </c>
      <c r="G11" s="1"/>
    </row>
    <row r="12" spans="1:7" x14ac:dyDescent="0.3">
      <c r="A12" s="1" t="s">
        <v>57</v>
      </c>
      <c r="B12" t="s">
        <v>64</v>
      </c>
      <c r="C12">
        <v>50</v>
      </c>
      <c r="D12" t="s">
        <v>6</v>
      </c>
      <c r="G12" s="1"/>
    </row>
    <row r="13" spans="1:7" x14ac:dyDescent="0.3">
      <c r="A13" s="1" t="s">
        <v>58</v>
      </c>
      <c r="B13" t="s">
        <v>10</v>
      </c>
      <c r="C13">
        <v>50</v>
      </c>
      <c r="D13" t="s">
        <v>6</v>
      </c>
      <c r="G13" s="1"/>
    </row>
    <row r="14" spans="1:7" x14ac:dyDescent="0.3">
      <c r="A14" s="1" t="s">
        <v>29</v>
      </c>
      <c r="B14" t="s">
        <v>30</v>
      </c>
      <c r="C14">
        <v>200</v>
      </c>
      <c r="D14" t="s">
        <v>18</v>
      </c>
      <c r="G14" s="1"/>
    </row>
    <row r="15" spans="1:7" x14ac:dyDescent="0.3">
      <c r="A15" s="1" t="s">
        <v>65</v>
      </c>
      <c r="B15" t="s">
        <v>10</v>
      </c>
      <c r="C15">
        <v>150</v>
      </c>
      <c r="D15" t="s">
        <v>6</v>
      </c>
      <c r="G15" s="1"/>
    </row>
    <row r="16" spans="1:7" x14ac:dyDescent="0.3">
      <c r="A16" s="1" t="s">
        <v>59</v>
      </c>
      <c r="B16" t="s">
        <v>5</v>
      </c>
      <c r="C16">
        <v>200</v>
      </c>
      <c r="D16" t="s">
        <v>6</v>
      </c>
      <c r="G16" s="1"/>
    </row>
    <row r="17" spans="1:7" x14ac:dyDescent="0.3">
      <c r="A17" s="1" t="s">
        <v>60</v>
      </c>
      <c r="B17" t="s">
        <v>44</v>
      </c>
      <c r="C17">
        <v>200</v>
      </c>
      <c r="D17" t="s">
        <v>18</v>
      </c>
      <c r="G17" s="1"/>
    </row>
    <row r="18" spans="1:7" x14ac:dyDescent="0.3">
      <c r="A18" s="1" t="s">
        <v>61</v>
      </c>
      <c r="B18" t="s">
        <v>8</v>
      </c>
      <c r="C18">
        <v>200</v>
      </c>
      <c r="D18" t="s">
        <v>18</v>
      </c>
      <c r="G18" s="1"/>
    </row>
    <row r="19" spans="1:7" x14ac:dyDescent="0.3">
      <c r="A19" s="1" t="s">
        <v>62</v>
      </c>
      <c r="B19" t="s">
        <v>5</v>
      </c>
      <c r="C19">
        <v>50</v>
      </c>
      <c r="D19" t="s">
        <v>6</v>
      </c>
      <c r="G19" s="1"/>
    </row>
    <row r="20" spans="1:7" x14ac:dyDescent="0.3">
      <c r="A20" s="5" t="s">
        <v>66</v>
      </c>
      <c r="B20" t="s">
        <v>8</v>
      </c>
      <c r="C20">
        <v>200</v>
      </c>
      <c r="D20" t="s">
        <v>6</v>
      </c>
      <c r="G20" s="1"/>
    </row>
    <row r="21" spans="1:7" x14ac:dyDescent="0.3">
      <c r="A21" s="1" t="s">
        <v>63</v>
      </c>
      <c r="B21" t="s">
        <v>8</v>
      </c>
      <c r="C21">
        <v>200</v>
      </c>
      <c r="D21" t="s">
        <v>6</v>
      </c>
      <c r="G21" s="1"/>
    </row>
    <row r="22" spans="1:7" x14ac:dyDescent="0.3">
      <c r="A22" s="1" t="s">
        <v>76</v>
      </c>
      <c r="B22" t="s">
        <v>20</v>
      </c>
      <c r="C22">
        <v>150</v>
      </c>
      <c r="D22" t="s">
        <v>6</v>
      </c>
      <c r="G22" s="1"/>
    </row>
    <row r="23" spans="1:7" x14ac:dyDescent="0.3">
      <c r="A23" s="1" t="s">
        <v>77</v>
      </c>
      <c r="B23" t="s">
        <v>38</v>
      </c>
      <c r="C23">
        <v>50</v>
      </c>
      <c r="D23" t="s">
        <v>6</v>
      </c>
    </row>
    <row r="24" spans="1:7" x14ac:dyDescent="0.3">
      <c r="A24" s="1" t="s">
        <v>78</v>
      </c>
      <c r="B24" t="s">
        <v>38</v>
      </c>
      <c r="C24">
        <v>50</v>
      </c>
      <c r="D24" t="s">
        <v>6</v>
      </c>
    </row>
    <row r="25" spans="1:7" x14ac:dyDescent="0.3">
      <c r="A25" s="1" t="s">
        <v>79</v>
      </c>
      <c r="B25" t="s">
        <v>38</v>
      </c>
      <c r="C25">
        <v>50</v>
      </c>
      <c r="D25" t="s">
        <v>6</v>
      </c>
    </row>
    <row r="27" spans="1:7" x14ac:dyDescent="0.3">
      <c r="B27" s="3" t="s">
        <v>86</v>
      </c>
      <c r="C27" s="3">
        <f>SUM(Table3[Payment])</f>
        <v>2950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8DB26-85C5-4A28-A407-2B4B13E9FAA5}">
  <dimension ref="A1:J13"/>
  <sheetViews>
    <sheetView workbookViewId="0">
      <selection activeCell="C17" sqref="C17"/>
    </sheetView>
  </sheetViews>
  <sheetFormatPr defaultRowHeight="14.4" x14ac:dyDescent="0.3"/>
  <cols>
    <col min="1" max="1" width="33.77734375" bestFit="1" customWidth="1"/>
    <col min="2" max="2" width="9" bestFit="1" customWidth="1"/>
    <col min="3" max="3" width="15.6640625" bestFit="1" customWidth="1"/>
    <col min="4" max="4" width="9.66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</row>
    <row r="2" spans="1:10" x14ac:dyDescent="0.3">
      <c r="A2" t="s">
        <v>67</v>
      </c>
      <c r="B2" t="s">
        <v>12</v>
      </c>
      <c r="C2">
        <v>50</v>
      </c>
      <c r="D2" t="s">
        <v>6</v>
      </c>
    </row>
    <row r="3" spans="1:10" x14ac:dyDescent="0.3">
      <c r="A3" s="1" t="s">
        <v>68</v>
      </c>
      <c r="B3" t="s">
        <v>5</v>
      </c>
      <c r="C3" s="2">
        <v>250</v>
      </c>
      <c r="D3" t="s">
        <v>85</v>
      </c>
    </row>
    <row r="4" spans="1:10" x14ac:dyDescent="0.3">
      <c r="A4" s="1" t="s">
        <v>69</v>
      </c>
      <c r="B4" t="s">
        <v>8</v>
      </c>
      <c r="C4">
        <v>250</v>
      </c>
      <c r="D4" t="s">
        <v>6</v>
      </c>
    </row>
    <row r="5" spans="1:10" x14ac:dyDescent="0.3">
      <c r="A5" s="1" t="s">
        <v>70</v>
      </c>
      <c r="B5" t="s">
        <v>12</v>
      </c>
      <c r="C5">
        <v>250</v>
      </c>
      <c r="D5" t="s">
        <v>6</v>
      </c>
    </row>
    <row r="6" spans="1:10" x14ac:dyDescent="0.3">
      <c r="A6" s="1" t="s">
        <v>71</v>
      </c>
      <c r="B6" t="s">
        <v>51</v>
      </c>
      <c r="C6">
        <v>100</v>
      </c>
      <c r="D6" t="s">
        <v>6</v>
      </c>
    </row>
    <row r="7" spans="1:10" x14ac:dyDescent="0.3">
      <c r="A7" s="1" t="s">
        <v>72</v>
      </c>
      <c r="B7" t="s">
        <v>12</v>
      </c>
      <c r="C7">
        <v>50</v>
      </c>
      <c r="D7" t="s">
        <v>18</v>
      </c>
      <c r="J7" s="1"/>
    </row>
    <row r="8" spans="1:10" x14ac:dyDescent="0.3">
      <c r="A8" s="1" t="s">
        <v>73</v>
      </c>
      <c r="B8" t="s">
        <v>30</v>
      </c>
      <c r="C8">
        <v>200</v>
      </c>
      <c r="D8" t="s">
        <v>6</v>
      </c>
      <c r="J8" s="1"/>
    </row>
    <row r="9" spans="1:10" x14ac:dyDescent="0.3">
      <c r="A9" s="1" t="s">
        <v>77</v>
      </c>
      <c r="B9" t="s">
        <v>38</v>
      </c>
      <c r="C9">
        <v>50</v>
      </c>
      <c r="D9" t="s">
        <v>6</v>
      </c>
      <c r="J9" s="1"/>
    </row>
    <row r="10" spans="1:10" x14ac:dyDescent="0.3">
      <c r="A10" s="1" t="s">
        <v>81</v>
      </c>
      <c r="B10" t="s">
        <v>84</v>
      </c>
      <c r="C10">
        <v>250</v>
      </c>
      <c r="D10" t="s">
        <v>6</v>
      </c>
      <c r="J10" s="1"/>
    </row>
    <row r="11" spans="1:10" x14ac:dyDescent="0.3">
      <c r="J11" s="1"/>
    </row>
    <row r="12" spans="1:10" x14ac:dyDescent="0.3">
      <c r="B12" s="3" t="s">
        <v>86</v>
      </c>
      <c r="C12" s="3">
        <f>SUM(Table4[Payment])</f>
        <v>1450</v>
      </c>
    </row>
    <row r="13" spans="1:10" x14ac:dyDescent="0.3">
      <c r="J13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5099C-76AC-402A-92D5-7EA8C1858A0C}">
  <dimension ref="B2:C7"/>
  <sheetViews>
    <sheetView tabSelected="1" workbookViewId="0">
      <selection activeCell="C11" sqref="C11"/>
    </sheetView>
  </sheetViews>
  <sheetFormatPr defaultRowHeight="14.4" x14ac:dyDescent="0.3"/>
  <cols>
    <col min="3" max="3" width="25.33203125" bestFit="1" customWidth="1"/>
  </cols>
  <sheetData>
    <row r="2" spans="2:3" x14ac:dyDescent="0.3">
      <c r="B2" t="s">
        <v>87</v>
      </c>
      <c r="C2" t="s">
        <v>88</v>
      </c>
    </row>
    <row r="3" spans="2:3" x14ac:dyDescent="0.3">
      <c r="B3" t="s">
        <v>89</v>
      </c>
      <c r="C3">
        <f>SUM(Table1[Payment])</f>
        <v>8350</v>
      </c>
    </row>
    <row r="4" spans="2:3" x14ac:dyDescent="0.3">
      <c r="B4" t="s">
        <v>90</v>
      </c>
      <c r="C4">
        <f>SUM(Table2[Payment])</f>
        <v>2800</v>
      </c>
    </row>
    <row r="5" spans="2:3" x14ac:dyDescent="0.3">
      <c r="B5" t="s">
        <v>91</v>
      </c>
      <c r="C5">
        <f>SUM(Table3[Payment])</f>
        <v>2950</v>
      </c>
    </row>
    <row r="6" spans="2:3" x14ac:dyDescent="0.3">
      <c r="B6" t="s">
        <v>92</v>
      </c>
      <c r="C6">
        <f>SUM(Table4[Payment])</f>
        <v>1450</v>
      </c>
    </row>
    <row r="7" spans="2:3" x14ac:dyDescent="0.3">
      <c r="B7" t="s">
        <v>86</v>
      </c>
      <c r="C7">
        <f>SUM(C3:C6)</f>
        <v>15550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Cricket</vt:lpstr>
      <vt:lpstr>Football</vt:lpstr>
      <vt:lpstr>BGMI</vt:lpstr>
      <vt:lpstr>Valorant</vt:lpstr>
      <vt:lpstr>All 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Kaushik Musale</dc:creator>
  <cp:lastModifiedBy>Kaushik Musale</cp:lastModifiedBy>
  <dcterms:created xsi:type="dcterms:W3CDTF">2025-11-04T18:11:08Z</dcterms:created>
  <dcterms:modified xsi:type="dcterms:W3CDTF">2025-11-28T15:33:16Z</dcterms:modified>
</cp:coreProperties>
</file>